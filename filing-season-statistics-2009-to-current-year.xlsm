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u_r\Downloads\"/>
    </mc:Choice>
  </mc:AlternateContent>
  <xr:revisionPtr revIDLastSave="0" documentId="13_ncr:1_{46181816-017C-46F4-9938-62BBE3CF86C9}" xr6:coauthVersionLast="47" xr6:coauthVersionMax="47" xr10:uidLastSave="{00000000-0000-0000-0000-000000000000}"/>
  <bookViews>
    <workbookView xWindow="-120" yWindow="-120" windowWidth="20730" windowHeight="11160" xr2:uid="{0A3FC47F-6E9F-4C75-BADE-DA1C4301A184}"/>
  </bookViews>
  <sheets>
    <sheet name="filing-season-statistics-2009-t" sheetId="1" r:id="rId1"/>
    <sheet name="Task" sheetId="4" r:id="rId2"/>
    <sheet name="Individual returns received" sheetId="9" r:id="rId3"/>
    <sheet name="Paper filling by Months" sheetId="12" r:id="rId4"/>
    <sheet name="Average of refund" sheetId="11" r:id="rId5"/>
    <sheet name="proportion" sheetId="3" r:id="rId6"/>
    <sheet name="Visits on irs.gov by months" sheetId="8" r:id="rId7"/>
  </sheets>
  <calcPr calcId="181029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R26" i="1"/>
  <c r="T26" i="1" s="1"/>
  <c r="R27" i="1"/>
  <c r="T27" i="1" s="1"/>
  <c r="R28" i="1"/>
  <c r="T28" i="1" s="1"/>
  <c r="R29" i="1"/>
  <c r="T29" i="1" s="1"/>
  <c r="R30" i="1"/>
  <c r="T30" i="1" s="1"/>
  <c r="R31" i="1"/>
  <c r="T31" i="1" s="1"/>
  <c r="R32" i="1"/>
  <c r="T32" i="1" s="1"/>
  <c r="R33" i="1"/>
  <c r="T33" i="1" s="1"/>
  <c r="R34" i="1"/>
  <c r="T34" i="1" s="1"/>
  <c r="R35" i="1"/>
  <c r="T35" i="1" s="1"/>
  <c r="R36" i="1"/>
  <c r="T36" i="1" s="1"/>
  <c r="R37" i="1"/>
  <c r="T37" i="1" s="1"/>
  <c r="R38" i="1"/>
  <c r="T38" i="1" s="1"/>
  <c r="R39" i="1"/>
  <c r="T39" i="1" s="1"/>
  <c r="R40" i="1"/>
  <c r="T40" i="1" s="1"/>
  <c r="R41" i="1"/>
  <c r="T41" i="1" s="1"/>
  <c r="R42" i="1"/>
  <c r="T42" i="1" s="1"/>
  <c r="R43" i="1"/>
  <c r="T43" i="1" s="1"/>
  <c r="R44" i="1"/>
  <c r="T44" i="1" s="1"/>
  <c r="R45" i="1"/>
  <c r="T45" i="1" s="1"/>
  <c r="R46" i="1"/>
  <c r="T46" i="1" s="1"/>
  <c r="R47" i="1"/>
  <c r="T47" i="1" s="1"/>
  <c r="R48" i="1"/>
  <c r="T48" i="1" s="1"/>
  <c r="R49" i="1"/>
  <c r="T49" i="1" s="1"/>
  <c r="R50" i="1"/>
  <c r="T50" i="1" s="1"/>
  <c r="R51" i="1"/>
  <c r="T51" i="1" s="1"/>
  <c r="R52" i="1"/>
  <c r="T52" i="1" s="1"/>
  <c r="R53" i="1"/>
  <c r="T53" i="1" s="1"/>
  <c r="R54" i="1"/>
  <c r="T54" i="1" s="1"/>
  <c r="R55" i="1"/>
  <c r="T55" i="1" s="1"/>
  <c r="R56" i="1"/>
  <c r="T56" i="1" s="1"/>
  <c r="R57" i="1"/>
  <c r="T57" i="1" s="1"/>
  <c r="R58" i="1"/>
  <c r="T58" i="1" s="1"/>
  <c r="R59" i="1"/>
  <c r="T59" i="1" s="1"/>
  <c r="R60" i="1"/>
  <c r="T60" i="1" s="1"/>
  <c r="R61" i="1"/>
  <c r="T61" i="1" s="1"/>
  <c r="R62" i="1"/>
  <c r="T62" i="1" s="1"/>
  <c r="R63" i="1"/>
  <c r="T63" i="1" s="1"/>
  <c r="R64" i="1"/>
  <c r="T64" i="1" s="1"/>
  <c r="R65" i="1"/>
  <c r="T65" i="1" s="1"/>
  <c r="R66" i="1"/>
  <c r="T66" i="1" s="1"/>
  <c r="R67" i="1"/>
  <c r="T67" i="1" s="1"/>
  <c r="R68" i="1"/>
  <c r="T68" i="1" s="1"/>
  <c r="R69" i="1"/>
  <c r="T69" i="1" s="1"/>
  <c r="R70" i="1"/>
  <c r="T70" i="1" s="1"/>
  <c r="R71" i="1"/>
  <c r="T71" i="1" s="1"/>
  <c r="R72" i="1"/>
  <c r="T72" i="1" s="1"/>
  <c r="R73" i="1"/>
  <c r="T73" i="1" s="1"/>
  <c r="R74" i="1"/>
  <c r="T74" i="1" s="1"/>
  <c r="R75" i="1"/>
  <c r="T75" i="1" s="1"/>
  <c r="R76" i="1"/>
  <c r="T76" i="1" s="1"/>
  <c r="R77" i="1"/>
  <c r="T77" i="1" s="1"/>
  <c r="R78" i="1"/>
  <c r="T78" i="1" s="1"/>
  <c r="R79" i="1"/>
  <c r="T79" i="1" s="1"/>
  <c r="R80" i="1"/>
  <c r="T80" i="1" s="1"/>
  <c r="R81" i="1"/>
  <c r="T81" i="1" s="1"/>
  <c r="R82" i="1"/>
  <c r="T82" i="1" s="1"/>
  <c r="R83" i="1"/>
  <c r="T83" i="1" s="1"/>
  <c r="R84" i="1"/>
  <c r="T84" i="1" s="1"/>
  <c r="R85" i="1"/>
  <c r="T85" i="1" s="1"/>
  <c r="R86" i="1"/>
  <c r="T86" i="1" s="1"/>
  <c r="R87" i="1"/>
  <c r="T87" i="1" s="1"/>
  <c r="R88" i="1"/>
  <c r="T88" i="1" s="1"/>
  <c r="R89" i="1"/>
  <c r="T89" i="1" s="1"/>
  <c r="R90" i="1"/>
  <c r="T90" i="1" s="1"/>
  <c r="R91" i="1"/>
  <c r="T91" i="1" s="1"/>
  <c r="R92" i="1"/>
  <c r="T92" i="1" s="1"/>
  <c r="R93" i="1"/>
  <c r="T93" i="1" s="1"/>
  <c r="R94" i="1"/>
  <c r="T94" i="1" s="1"/>
  <c r="R95" i="1"/>
  <c r="T95" i="1" s="1"/>
  <c r="R96" i="1"/>
  <c r="T96" i="1" s="1"/>
  <c r="R97" i="1"/>
  <c r="T97" i="1" s="1"/>
  <c r="R98" i="1"/>
  <c r="T98" i="1" s="1"/>
  <c r="R99" i="1"/>
  <c r="T99" i="1" s="1"/>
  <c r="R100" i="1"/>
  <c r="T100" i="1" s="1"/>
  <c r="R101" i="1"/>
  <c r="T101" i="1" s="1"/>
  <c r="R102" i="1"/>
  <c r="T102" i="1" s="1"/>
  <c r="R103" i="1"/>
  <c r="T103" i="1" s="1"/>
  <c r="R104" i="1"/>
  <c r="T104" i="1" s="1"/>
  <c r="R105" i="1"/>
  <c r="T105" i="1" s="1"/>
  <c r="R106" i="1"/>
  <c r="T106" i="1" s="1"/>
  <c r="R107" i="1"/>
  <c r="T107" i="1" s="1"/>
  <c r="R108" i="1"/>
  <c r="T108" i="1" s="1"/>
  <c r="R109" i="1"/>
  <c r="T109" i="1" s="1"/>
  <c r="R110" i="1"/>
  <c r="T110" i="1" s="1"/>
  <c r="R111" i="1"/>
  <c r="T111" i="1" s="1"/>
  <c r="R112" i="1"/>
  <c r="T112" i="1" s="1"/>
  <c r="R113" i="1"/>
  <c r="T113" i="1" s="1"/>
  <c r="R114" i="1"/>
  <c r="T114" i="1" s="1"/>
  <c r="R115" i="1"/>
  <c r="T115" i="1" s="1"/>
  <c r="R116" i="1"/>
  <c r="T116" i="1" s="1"/>
  <c r="R117" i="1"/>
  <c r="T117" i="1" s="1"/>
  <c r="R118" i="1"/>
  <c r="T118" i="1" s="1"/>
  <c r="R119" i="1"/>
  <c r="T119" i="1" s="1"/>
  <c r="R120" i="1"/>
  <c r="T120" i="1" s="1"/>
  <c r="R121" i="1"/>
  <c r="T121" i="1" s="1"/>
  <c r="R122" i="1"/>
  <c r="T122" i="1" s="1"/>
  <c r="R123" i="1"/>
  <c r="T123" i="1" s="1"/>
  <c r="R124" i="1"/>
  <c r="T124" i="1" s="1"/>
  <c r="R125" i="1"/>
  <c r="T125" i="1" s="1"/>
  <c r="R126" i="1"/>
  <c r="T126" i="1" s="1"/>
  <c r="R127" i="1"/>
  <c r="T127" i="1" s="1"/>
  <c r="R128" i="1"/>
  <c r="T128" i="1" s="1"/>
  <c r="R129" i="1"/>
  <c r="T129" i="1" s="1"/>
  <c r="R130" i="1"/>
  <c r="T130" i="1" s="1"/>
  <c r="R131" i="1"/>
  <c r="T131" i="1" s="1"/>
  <c r="R132" i="1"/>
  <c r="T132" i="1" s="1"/>
  <c r="R133" i="1"/>
  <c r="T133" i="1" s="1"/>
  <c r="R134" i="1"/>
  <c r="T134" i="1" s="1"/>
  <c r="R135" i="1"/>
  <c r="T135" i="1" s="1"/>
  <c r="R136" i="1"/>
  <c r="T136" i="1" s="1"/>
  <c r="R137" i="1"/>
  <c r="T137" i="1" s="1"/>
  <c r="R138" i="1"/>
  <c r="T138" i="1" s="1"/>
  <c r="R139" i="1"/>
  <c r="T139" i="1" s="1"/>
  <c r="R140" i="1"/>
  <c r="T140" i="1" s="1"/>
  <c r="R141" i="1"/>
  <c r="T141" i="1" s="1"/>
  <c r="R142" i="1"/>
  <c r="T142" i="1" s="1"/>
  <c r="R143" i="1"/>
  <c r="T143" i="1" s="1"/>
  <c r="R144" i="1"/>
  <c r="T144" i="1" s="1"/>
  <c r="R145" i="1"/>
  <c r="T145" i="1" s="1"/>
  <c r="R146" i="1"/>
  <c r="T146" i="1" s="1"/>
  <c r="R147" i="1"/>
  <c r="T147" i="1" s="1"/>
  <c r="R148" i="1"/>
  <c r="T148" i="1" s="1"/>
  <c r="R149" i="1"/>
  <c r="T149" i="1" s="1"/>
  <c r="R150" i="1"/>
  <c r="T150" i="1" s="1"/>
  <c r="R151" i="1"/>
  <c r="T151" i="1" s="1"/>
  <c r="R152" i="1"/>
  <c r="T152" i="1" s="1"/>
  <c r="R153" i="1"/>
  <c r="T153" i="1" s="1"/>
  <c r="R154" i="1"/>
  <c r="T154" i="1" s="1"/>
  <c r="R155" i="1"/>
  <c r="T155" i="1" s="1"/>
  <c r="R156" i="1"/>
  <c r="T156" i="1" s="1"/>
  <c r="R157" i="1"/>
  <c r="T157" i="1" s="1"/>
  <c r="R158" i="1"/>
  <c r="T158" i="1" s="1"/>
  <c r="R159" i="1"/>
  <c r="T159" i="1" s="1"/>
  <c r="R160" i="1"/>
  <c r="T160" i="1" s="1"/>
  <c r="R161" i="1"/>
  <c r="T161" i="1" s="1"/>
  <c r="R162" i="1"/>
  <c r="T162" i="1" s="1"/>
  <c r="R163" i="1"/>
  <c r="T163" i="1" s="1"/>
  <c r="R164" i="1"/>
  <c r="T164" i="1" s="1"/>
  <c r="R165" i="1"/>
  <c r="T165" i="1" s="1"/>
  <c r="R166" i="1"/>
  <c r="T166" i="1" s="1"/>
  <c r="R167" i="1"/>
  <c r="T167" i="1" s="1"/>
  <c r="R168" i="1"/>
  <c r="T168" i="1" s="1"/>
  <c r="R169" i="1"/>
  <c r="T169" i="1" s="1"/>
  <c r="R170" i="1"/>
  <c r="T170" i="1" s="1"/>
  <c r="R171" i="1"/>
  <c r="T171" i="1" s="1"/>
  <c r="R172" i="1"/>
  <c r="T172" i="1" s="1"/>
  <c r="R173" i="1"/>
  <c r="T173" i="1" s="1"/>
  <c r="R174" i="1"/>
  <c r="T174" i="1" s="1"/>
  <c r="R175" i="1"/>
  <c r="T175" i="1" s="1"/>
  <c r="R176" i="1"/>
  <c r="T176" i="1" s="1"/>
  <c r="R177" i="1"/>
  <c r="T177" i="1" s="1"/>
  <c r="R178" i="1"/>
  <c r="T178" i="1" s="1"/>
  <c r="R179" i="1"/>
  <c r="T179" i="1" s="1"/>
  <c r="R180" i="1"/>
  <c r="T180" i="1" s="1"/>
  <c r="R181" i="1"/>
  <c r="T181" i="1" s="1"/>
  <c r="R182" i="1"/>
  <c r="T182" i="1" s="1"/>
  <c r="R183" i="1"/>
  <c r="T183" i="1" s="1"/>
  <c r="R184" i="1"/>
  <c r="T184" i="1" s="1"/>
  <c r="R185" i="1"/>
  <c r="T185" i="1" s="1"/>
  <c r="R186" i="1"/>
  <c r="T186" i="1" s="1"/>
  <c r="R187" i="1"/>
  <c r="T187" i="1" s="1"/>
  <c r="R188" i="1"/>
  <c r="T188" i="1" s="1"/>
  <c r="R189" i="1"/>
  <c r="T189" i="1" s="1"/>
  <c r="R190" i="1"/>
  <c r="T190" i="1" s="1"/>
  <c r="R191" i="1"/>
  <c r="T191" i="1" s="1"/>
  <c r="R192" i="1"/>
  <c r="T192" i="1" s="1"/>
  <c r="R193" i="1"/>
  <c r="T193" i="1" s="1"/>
  <c r="R194" i="1"/>
  <c r="T194" i="1" s="1"/>
  <c r="R195" i="1"/>
  <c r="T195" i="1" s="1"/>
  <c r="R196" i="1"/>
  <c r="T196" i="1" s="1"/>
  <c r="R197" i="1"/>
  <c r="T197" i="1" s="1"/>
  <c r="R198" i="1"/>
  <c r="T198" i="1" s="1"/>
  <c r="R199" i="1"/>
  <c r="T199" i="1" s="1"/>
  <c r="R200" i="1"/>
  <c r="T200" i="1" s="1"/>
  <c r="R201" i="1"/>
  <c r="T201" i="1" s="1"/>
  <c r="R202" i="1"/>
  <c r="T202" i="1" s="1"/>
  <c r="R203" i="1"/>
  <c r="T203" i="1" s="1"/>
  <c r="R204" i="1"/>
  <c r="T204" i="1" s="1"/>
  <c r="R205" i="1"/>
  <c r="T205" i="1" s="1"/>
  <c r="R206" i="1"/>
  <c r="T206" i="1" s="1"/>
  <c r="R207" i="1"/>
  <c r="T207" i="1" s="1"/>
  <c r="R208" i="1"/>
  <c r="T208" i="1" s="1"/>
  <c r="R209" i="1"/>
  <c r="T209" i="1" s="1"/>
  <c r="R210" i="1"/>
  <c r="T210" i="1" s="1"/>
  <c r="R211" i="1"/>
  <c r="T211" i="1" s="1"/>
  <c r="R212" i="1"/>
  <c r="T212" i="1" s="1"/>
  <c r="R213" i="1"/>
  <c r="T213" i="1" s="1"/>
  <c r="R214" i="1"/>
  <c r="T214" i="1" s="1"/>
  <c r="R215" i="1"/>
  <c r="T215" i="1" s="1"/>
  <c r="R216" i="1"/>
  <c r="T216" i="1" s="1"/>
  <c r="R217" i="1"/>
  <c r="T217" i="1" s="1"/>
  <c r="R218" i="1"/>
  <c r="T218" i="1" s="1"/>
  <c r="R219" i="1"/>
  <c r="T219" i="1" s="1"/>
  <c r="R220" i="1"/>
  <c r="T220" i="1" s="1"/>
  <c r="R221" i="1"/>
  <c r="T221" i="1" s="1"/>
  <c r="R222" i="1"/>
  <c r="T222" i="1" s="1"/>
  <c r="R223" i="1"/>
  <c r="T223" i="1" s="1"/>
  <c r="R224" i="1"/>
  <c r="T224" i="1" s="1"/>
  <c r="R225" i="1"/>
  <c r="T225" i="1" s="1"/>
  <c r="R226" i="1"/>
  <c r="T226" i="1" s="1"/>
  <c r="R227" i="1"/>
  <c r="T227" i="1" s="1"/>
  <c r="R228" i="1"/>
  <c r="T228" i="1" s="1"/>
  <c r="R229" i="1"/>
  <c r="T229" i="1" s="1"/>
  <c r="R230" i="1"/>
  <c r="T230" i="1" s="1"/>
  <c r="R231" i="1"/>
  <c r="T231" i="1" s="1"/>
  <c r="R232" i="1"/>
  <c r="T232" i="1" s="1"/>
  <c r="R233" i="1"/>
  <c r="T233" i="1" s="1"/>
  <c r="R234" i="1"/>
  <c r="T234" i="1" s="1"/>
  <c r="R235" i="1"/>
  <c r="T235" i="1" s="1"/>
  <c r="R236" i="1"/>
  <c r="T236" i="1" s="1"/>
  <c r="R237" i="1"/>
  <c r="T237" i="1" s="1"/>
  <c r="R238" i="1"/>
  <c r="T238" i="1" s="1"/>
  <c r="R239" i="1"/>
  <c r="T239" i="1" s="1"/>
  <c r="R240" i="1"/>
  <c r="T240" i="1" s="1"/>
  <c r="R241" i="1"/>
  <c r="T241" i="1" s="1"/>
  <c r="R242" i="1"/>
  <c r="T242" i="1" s="1"/>
  <c r="R243" i="1"/>
  <c r="T243" i="1" s="1"/>
  <c r="R244" i="1"/>
  <c r="T244" i="1" s="1"/>
  <c r="R245" i="1"/>
  <c r="T245" i="1" s="1"/>
  <c r="R246" i="1"/>
  <c r="T246" i="1" s="1"/>
  <c r="R247" i="1"/>
  <c r="T247" i="1" s="1"/>
  <c r="R248" i="1"/>
  <c r="T248" i="1" s="1"/>
  <c r="R249" i="1"/>
  <c r="T249" i="1" s="1"/>
  <c r="R250" i="1"/>
  <c r="T250" i="1" s="1"/>
  <c r="R251" i="1"/>
  <c r="T251" i="1" s="1"/>
  <c r="R252" i="1"/>
  <c r="T252" i="1" s="1"/>
  <c r="R253" i="1"/>
  <c r="T253" i="1" s="1"/>
  <c r="R254" i="1"/>
  <c r="T254" i="1" s="1"/>
  <c r="R255" i="1"/>
  <c r="T255" i="1" s="1"/>
  <c r="R256" i="1"/>
  <c r="T256" i="1" s="1"/>
  <c r="R257" i="1"/>
  <c r="T257" i="1" s="1"/>
  <c r="R258" i="1"/>
  <c r="T258" i="1" s="1"/>
  <c r="R259" i="1"/>
  <c r="T259" i="1" s="1"/>
  <c r="R260" i="1"/>
  <c r="T260" i="1" s="1"/>
  <c r="R261" i="1"/>
  <c r="T261" i="1" s="1"/>
  <c r="R262" i="1"/>
  <c r="T262" i="1" s="1"/>
  <c r="R263" i="1"/>
  <c r="T263" i="1" s="1"/>
  <c r="R264" i="1"/>
  <c r="T264" i="1" s="1"/>
  <c r="R265" i="1"/>
  <c r="T265" i="1" s="1"/>
  <c r="R266" i="1"/>
  <c r="T266" i="1" s="1"/>
  <c r="R267" i="1"/>
  <c r="T267" i="1" s="1"/>
  <c r="R268" i="1"/>
  <c r="T268" i="1" s="1"/>
  <c r="R269" i="1"/>
  <c r="T269" i="1" s="1"/>
  <c r="R270" i="1"/>
  <c r="T270" i="1" s="1"/>
  <c r="R271" i="1"/>
  <c r="T271" i="1" s="1"/>
  <c r="R272" i="1"/>
  <c r="T272" i="1" s="1"/>
  <c r="R273" i="1"/>
  <c r="T273" i="1" s="1"/>
  <c r="R274" i="1"/>
  <c r="T274" i="1" s="1"/>
  <c r="R275" i="1"/>
  <c r="T275" i="1" s="1"/>
  <c r="R276" i="1"/>
  <c r="T276" i="1" s="1"/>
  <c r="R277" i="1"/>
  <c r="T277" i="1" s="1"/>
  <c r="R278" i="1"/>
  <c r="T278" i="1" s="1"/>
  <c r="R279" i="1"/>
  <c r="T279" i="1" s="1"/>
  <c r="R280" i="1"/>
  <c r="T280" i="1" s="1"/>
  <c r="R281" i="1"/>
  <c r="T281" i="1" s="1"/>
  <c r="R282" i="1"/>
  <c r="T282" i="1" s="1"/>
  <c r="R283" i="1"/>
  <c r="T283" i="1" s="1"/>
  <c r="R284" i="1"/>
  <c r="T284" i="1" s="1"/>
  <c r="R285" i="1"/>
  <c r="T285" i="1" s="1"/>
  <c r="R286" i="1"/>
  <c r="T286" i="1" s="1"/>
  <c r="R287" i="1"/>
  <c r="T287" i="1" s="1"/>
  <c r="R288" i="1"/>
  <c r="T288" i="1" s="1"/>
  <c r="R289" i="1"/>
  <c r="T289" i="1" s="1"/>
  <c r="R290" i="1"/>
  <c r="T290" i="1" s="1"/>
  <c r="R291" i="1"/>
  <c r="T291" i="1" s="1"/>
  <c r="R292" i="1"/>
  <c r="T292" i="1" s="1"/>
  <c r="R293" i="1"/>
  <c r="T293" i="1" s="1"/>
  <c r="R294" i="1"/>
  <c r="T294" i="1" s="1"/>
  <c r="R295" i="1"/>
  <c r="T295" i="1" s="1"/>
  <c r="R296" i="1"/>
  <c r="T296" i="1" s="1"/>
  <c r="R297" i="1"/>
  <c r="T297" i="1" s="1"/>
  <c r="R298" i="1"/>
  <c r="T298" i="1" s="1"/>
  <c r="R299" i="1"/>
  <c r="T299" i="1" s="1"/>
  <c r="R300" i="1"/>
  <c r="T300" i="1" s="1"/>
  <c r="R301" i="1"/>
  <c r="T301" i="1" s="1"/>
  <c r="R302" i="1"/>
  <c r="T302" i="1" s="1"/>
  <c r="R303" i="1"/>
  <c r="T303" i="1" s="1"/>
  <c r="R304" i="1"/>
  <c r="T304" i="1" s="1"/>
  <c r="R305" i="1"/>
  <c r="T305" i="1" s="1"/>
  <c r="R306" i="1"/>
  <c r="T306" i="1" s="1"/>
  <c r="R307" i="1"/>
  <c r="T307" i="1" s="1"/>
  <c r="R308" i="1"/>
  <c r="T308" i="1" s="1"/>
  <c r="R5" i="1"/>
  <c r="T5" i="1" s="1"/>
  <c r="R6" i="1"/>
  <c r="T6" i="1" s="1"/>
  <c r="R7" i="1"/>
  <c r="T7" i="1" s="1"/>
  <c r="R8" i="1"/>
  <c r="T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4" i="1"/>
  <c r="T4" i="1" s="1"/>
  <c r="S4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5" i="1"/>
  <c r="B6" i="1"/>
  <c r="B7" i="1"/>
  <c r="B8" i="1"/>
  <c r="B9" i="1"/>
  <c r="B10" i="1"/>
  <c r="B11" i="1"/>
  <c r="B12" i="1"/>
  <c r="B13" i="1"/>
  <c r="B14" i="1"/>
  <c r="B15" i="1"/>
  <c r="B4" i="1"/>
</calcChain>
</file>

<file path=xl/sharedStrings.xml><?xml version="1.0" encoding="utf-8"?>
<sst xmlns="http://schemas.openxmlformats.org/spreadsheetml/2006/main" count="116" uniqueCount="59">
  <si>
    <t>Table 1.  Filing Season Statistics, Weekly Data, 2009–2023</t>
  </si>
  <si>
    <t>Month</t>
  </si>
  <si>
    <t>Day</t>
  </si>
  <si>
    <t>Individual income tax returns</t>
  </si>
  <si>
    <t>E-filing receipts</t>
  </si>
  <si>
    <t>Web usage</t>
  </si>
  <si>
    <t>Total refunds</t>
  </si>
  <si>
    <t xml:space="preserve">Direct deposit refunds </t>
  </si>
  <si>
    <t>Total returns
received</t>
  </si>
  <si>
    <t xml:space="preserve">Processed </t>
  </si>
  <si>
    <t>Total e-file</t>
  </si>
  <si>
    <t>Tax 
Pro</t>
  </si>
  <si>
    <t>Self-prepared</t>
  </si>
  <si>
    <t>Visits to
IRS.gov</t>
  </si>
  <si>
    <t>Number</t>
  </si>
  <si>
    <t>Amount
(in billions of dollars)</t>
  </si>
  <si>
    <t>Average
refund</t>
  </si>
  <si>
    <t>[1] Calendar Year 2021 includes more than 251,000 returns filed for individuals who did not 
have a filing obligation but filed to receive the Advance Child Tax Credit.</t>
  </si>
  <si>
    <t xml:space="preserve"> </t>
  </si>
  <si>
    <t>Time</t>
  </si>
  <si>
    <t>Paper filling</t>
  </si>
  <si>
    <t>ProPortion e-filling</t>
  </si>
  <si>
    <t>Proportion Paper filling</t>
  </si>
  <si>
    <t>(ddr)Number</t>
  </si>
  <si>
    <t>(ddr)Average
refund</t>
  </si>
  <si>
    <t>(ddr)Amount
(in billions of dollars)</t>
  </si>
  <si>
    <t>Date</t>
  </si>
  <si>
    <t xml:space="preserve">Year </t>
  </si>
  <si>
    <t>Row Labels</t>
  </si>
  <si>
    <t>Grand Total</t>
  </si>
  <si>
    <t>Sum of Total returns
received</t>
  </si>
  <si>
    <t>Trend Analysis:</t>
  </si>
  <si>
    <t>How have the total number of individual income tax returns filed changed over the years?</t>
  </si>
  <si>
    <t>Is there a trend in the proportion of e-filing compared to paper filing over time?</t>
  </si>
  <si>
    <t>What is the trend in the average refund amount over the years?</t>
  </si>
  <si>
    <t>Seasonal Patterns:</t>
  </si>
  <si>
    <t>Are there any seasonal patterns in the number of tax returns filed?</t>
  </si>
  <si>
    <t>Do certain months or periods see higher web usage on IRS.gov?</t>
  </si>
  <si>
    <t>Are there seasonal variations in the average refund amount?</t>
  </si>
  <si>
    <t>Sum of Visits to
IRS.gov</t>
  </si>
  <si>
    <t>Average of ProPortion e-filling</t>
  </si>
  <si>
    <t>Average of Proportion Paper filling</t>
  </si>
  <si>
    <t>Sum of Average
refund</t>
  </si>
  <si>
    <t>Sum of (ddr)Average
refund</t>
  </si>
  <si>
    <t>Month_name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</si>
  <si>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</si>
  <si>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</si>
  <si>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</si>
  <si>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</si>
  <si>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</si>
  <si>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</si>
  <si>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</si>
  <si>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</si>
  <si>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</si>
  <si>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</si>
  <si>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</si>
  <si>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</si>
  <si>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(All)</t>
  </si>
  <si>
    <t>Sum of Paper filling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</si>
</sst>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8" fontId="0" fillId="0" borderId="0" xfId="0" applyNumberFormat="1"/>
    <xf numFmtId="6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/>
    <xf numFmtId="0" fontId="16" fillId="0" borderId="0" xfId="0" applyFont="1"/>
    <xf numFmtId="0" fontId="20" fillId="0" borderId="0" xfId="0" applyFont="1"/>
    <xf numFmtId="0" fontId="16" fillId="0" borderId="0" xfId="0" applyFont="1" applyAlignment="1">
      <alignment wrapText="1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[filing-season-statistics-2009-to-current-year.xlsm]Individual returns received!PivotTable15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returns received</a:t>
            </a:r>
          </a:p>
        </c:rich>
      </c:tx>
      <c:layout>
        <c:manualLayout>
          <c:xMode val="edge"/>
          <c:yMode val="edge"/>
          <c:x val="0.3111318897637795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762292213473313"/>
          <c:y val="0.15376502463325048"/>
          <c:w val="0.74631736657917758"/>
          <c:h val="0.64440643276651211"/>
        </c:manualLayout>
      </c:layout>
      <c:lineChart>
        <c:grouping val="standard"/>
        <c:varyColors val="0"/>
        <c:ser>
          <c:idx val="0"/>
          <c:order val="0"/>
          <c:tx>
            <c:strRef>
              <c:f>'Individual returns received'!$B$3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'Individual returns received'!$A$4:$A$16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'Individual returns received'!$B$4:$B$16</c:f>
              <c:numCache>
                <c:formatCode>General</c:formatCode>
                <c:ptCount val="12"/>
                <c:pt idx="0">
                  <c:v>63172000</c:v>
                </c:pt>
                <c:pt idx="1">
                  <c:v>1821429000</c:v>
                </c:pt>
                <c:pt idx="2">
                  <c:v>5028153000</c:v>
                </c:pt>
                <c:pt idx="3">
                  <c:v>7908430000</c:v>
                </c:pt>
                <c:pt idx="4">
                  <c:v>5916306000</c:v>
                </c:pt>
                <c:pt idx="5">
                  <c:v>1968013000</c:v>
                </c:pt>
                <c:pt idx="6">
                  <c:v>1320041000</c:v>
                </c:pt>
                <c:pt idx="7">
                  <c:v>575052000</c:v>
                </c:pt>
                <c:pt idx="8">
                  <c:v>580063000</c:v>
                </c:pt>
                <c:pt idx="9">
                  <c:v>2654830000</c:v>
                </c:pt>
                <c:pt idx="10">
                  <c:v>1225651000</c:v>
                </c:pt>
                <c:pt idx="11">
                  <c:v>2938924000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F6-4DC7-978E-0BD178998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44912"/>
        <c:axId val="513585424"/>
      </c:lineChart>
      <c:catAx>
        <c:axId val="5505449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85424"/>
        <c:crosses val="autoZero"/>
        <c:auto val="1"/>
        <c:lblAlgn val="ctr"/>
        <c:lblOffset val="100"/>
        <c:noMultiLvlLbl val="0"/>
      </c:catAx>
      <c:valAx>
        <c:axId val="513585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4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14807524059478"/>
          <c:y val="4.2232429279673377E-2"/>
          <c:w val="0.11005533292528211"/>
          <c:h val="6.0489441324115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[filing-season-statistics-2009-to-current-year.xlsm]Paper filling by Months!PivotTable15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Paper</a:t>
            </a:r>
            <a:r>
              <a:rPr lang="en-US" baseline="0"/>
              <a:t> filling by Months</a:t>
            </a:r>
            <a:endParaRPr lang="en-US"/>
          </a:p>
        </c:rich>
      </c:tx>
      <c:layout>
        <c:manualLayout>
          <c:xMode val="edge"/>
          <c:yMode val="edge"/>
          <c:x val="0.3111318897637795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661515924105192"/>
          <c:y val="0.15376502463325048"/>
          <c:w val="0.77732508838899605"/>
          <c:h val="0.61564423916556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'Paper filling by Months'!$B$3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'Paper filling by Months'!$A$4:$A$16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'Paper filling by Months'!$B$4:$B$16</c:f>
              <c:numCache>
                <c:formatCode>General</c:formatCode>
                <c:ptCount val="12"/>
                <c:pt idx="0">
                  <c:v>3353000</c:v>
                </c:pt>
                <c:pt idx="1">
                  <c:v>86411000</c:v>
                </c:pt>
                <c:pt idx="2">
                  <c:v>366989000</c:v>
                </c:pt>
                <c:pt idx="3">
                  <c:v>834846000</c:v>
                </c:pt>
                <c:pt idx="4">
                  <c:v>696747000</c:v>
                </c:pt>
                <c:pt idx="5">
                  <c:v>247995000</c:v>
                </c:pt>
                <c:pt idx="6">
                  <c:v>123698000</c:v>
                </c:pt>
                <c:pt idx="7">
                  <c:v>79555000</c:v>
                </c:pt>
                <c:pt idx="8">
                  <c:v>78770000</c:v>
                </c:pt>
                <c:pt idx="9">
                  <c:v>333548000</c:v>
                </c:pt>
                <c:pt idx="10">
                  <c:v>170174000</c:v>
                </c:pt>
                <c:pt idx="11">
                  <c:v>438991000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B9-40F6-B159-9EBAE850A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544912"/>
        <c:axId val="513585424"/>
      </c:barChart>
      <c:catAx>
        <c:axId val="55054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85424"/>
        <c:crosses val="autoZero"/>
        <c:auto val="1"/>
        <c:lblAlgn val="ctr"/>
        <c:lblOffset val="100"/>
        <c:noMultiLvlLbl val="0"/>
      </c:catAx>
      <c:valAx>
        <c:axId val="5135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4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14807524059478"/>
          <c:y val="4.2232429279673377E-2"/>
          <c:w val="8.3698569517359628E-2"/>
          <c:h val="6.4120456705607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[filing-season-statistics-2009-to-current-year.xlsm]Average of refund!PivotTable15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of refund</a:t>
            </a:r>
            <a:endParaRPr lang="en-US"/>
          </a:p>
        </c:rich>
      </c:tx>
      <c:layout>
        <c:manualLayout>
          <c:xMode val="edge"/>
          <c:yMode val="edge"/>
          <c:x val="0.37201472628236149"/>
          <c:y val="3.8583781602091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300335401321939"/>
          <c:y val="0.21733671188082138"/>
          <c:w val="0.8209369466543055"/>
          <c:h val="0.580834857420764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'Average of refund'!$B$3</c:f>
              <c:strCache>
                <c:ptCount val="1"/>
                <c:pt idx="0">
                  <c:v>Sum of (ddr)Average
refund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'Average of refund'!$A$4:$A$16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'Average of refund'!$B$4:$B$16</c:f>
              <c:numCache>
                <c:formatCode>General</c:formatCode>
                <c:ptCount val="12"/>
                <c:pt idx="0">
                  <c:v>14190</c:v>
                </c:pt>
                <c:pt idx="1">
                  <c:v>136827</c:v>
                </c:pt>
                <c:pt idx="2">
                  <c:v>207695</c:v>
                </c:pt>
                <c:pt idx="3">
                  <c:v>199508</c:v>
                </c:pt>
                <c:pt idx="4">
                  <c:v>126046</c:v>
                </c:pt>
                <c:pt idx="5">
                  <c:v>40997</c:v>
                </c:pt>
                <c:pt idx="6">
                  <c:v>26001</c:v>
                </c:pt>
                <c:pt idx="7">
                  <c:v>11601</c:v>
                </c:pt>
                <c:pt idx="8">
                  <c:v>11675</c:v>
                </c:pt>
                <c:pt idx="9">
                  <c:v>50272</c:v>
                </c:pt>
                <c:pt idx="10">
                  <c:v>23418</c:v>
                </c:pt>
                <c:pt idx="11">
                  <c:v>56632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F-4841-8117-3F2DD01D6B34}"/>
            </c:ext>
          </c:extLst>
        </c:ser>
        <c:ser>
          <c:idx val="1"/>
          <c:order val="1"/>
          <c:tx>
            <c:strRef>
              <c:f>'Average of refund'!$C$3</c:f>
              <c:strCache>
                <c:ptCount val="1"/>
                <c:pt idx="0">
                  <c:v>Sum of Average
refund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'Average of refund'!$A$4:$A$16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'Average of refund'!$C$4:$C$16</c:f>
              <c:numCache>
                <c:formatCode>General</c:formatCode>
                <c:ptCount val="12"/>
                <c:pt idx="0">
                  <c:v>13978</c:v>
                </c:pt>
                <c:pt idx="1">
                  <c:v>133207</c:v>
                </c:pt>
                <c:pt idx="2">
                  <c:v>199636</c:v>
                </c:pt>
                <c:pt idx="3">
                  <c:v>189280</c:v>
                </c:pt>
                <c:pt idx="4">
                  <c:v>119470</c:v>
                </c:pt>
                <c:pt idx="5">
                  <c:v>38752</c:v>
                </c:pt>
                <c:pt idx="6">
                  <c:v>24670</c:v>
                </c:pt>
                <c:pt idx="7">
                  <c:v>10890</c:v>
                </c:pt>
                <c:pt idx="8">
                  <c:v>10948</c:v>
                </c:pt>
                <c:pt idx="9">
                  <c:v>47982</c:v>
                </c:pt>
                <c:pt idx="10">
                  <c:v>22288</c:v>
                </c:pt>
                <c:pt idx="11">
                  <c:v>54305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0F-4841-8117-3F2DD01D6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544912"/>
        <c:axId val="513585424"/>
      </c:barChart>
      <c:catAx>
        <c:axId val="55054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85424"/>
        <c:crosses val="autoZero"/>
        <c:auto val="1"/>
        <c:lblAlgn val="ctr"/>
        <c:lblOffset val="100"/>
        <c:noMultiLvlLbl val="0"/>
      </c:catAx>
      <c:valAx>
        <c:axId val="5135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4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123108339231189"/>
          <c:y val="0.11249583082392403"/>
          <c:w val="0.86238637810891672"/>
          <c:h val="0.11543440838798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[filing-season-statistics-2009-to-current-year.xlsm]proportion!PivotTable13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cap="none" baseline="0">
                <a:effectLst/>
              </a:rPr>
              <a:t>Average of ProPortion e-filling and Proportion Paper filling</a:t>
            </a:r>
            <a:r>
              <a:rPr lang="en-US" sz="1100" b="1" i="0" u="none" strike="noStrike" cap="none" baseline="0"/>
              <a:t> </a:t>
            </a:r>
            <a:r>
              <a:rPr lang="en-US" sz="1100" b="1" i="0" u="none" strike="noStrike" cap="none" baseline="0">
                <a:effectLst/>
              </a:rPr>
              <a:t> </a:t>
            </a:r>
            <a:r>
              <a:rPr lang="en-US" sz="1100" b="1" i="0" u="none" strike="noStrike" cap="none" baseline="0"/>
              <a:t> 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0469816272965886E-2"/>
          <c:y val="0.26749781277340334"/>
          <c:w val="0.87323731408573924"/>
          <c:h val="0.59151501895596381"/>
        </c:manualLayout>
      </c:layout>
      <c:lineChart>
        <c:grouping val="stacked"/>
        <c:varyColors val="0"/>
        <c:ser>
          <c:idx val="0"/>
          <c:order val="0"/>
          <c:tx>
            <c:strRef>
              <c:f>proportion!$B$3</c:f>
              <c:strCache>
                <c:ptCount val="1"/>
                <c:pt idx="0">
                  <c:v>Average of ProPortion e-filling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proportion!$A$4:$A$20</c:f>
              <c:strCache>
                <c:ptCount val="1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</c:strCache>
            </c:strRef>
          </c:cat>
          <c:val>
            <c:numRef>
              <c:f>proportion!$B$4:$B$20</c:f>
              <c:numCache>
                <c:formatCode>General</c:formatCode>
                <c:ptCount val="16"/>
                <c:pt idx="0">
                  <c:v>0.70624753304170762</c:v>
                </c:pt>
                <c:pt idx="1">
                  <c:v>0.76649579275851953</c:v>
                </c:pt>
                <c:pt idx="2">
                  <c:v>0.83550585796068622</c:v>
                </c:pt>
                <c:pt idx="3">
                  <c:v>0.85480073280900026</c:v>
                </c:pt>
                <c:pt idx="4">
                  <c:v>0.88624555171176844</c:v>
                </c:pt>
                <c:pt idx="5">
                  <c:v>0.89075680076533881</c:v>
                </c:pt>
                <c:pt idx="6">
                  <c:v>0.89879976631938041</c:v>
                </c:pt>
                <c:pt idx="7">
                  <c:v>0.9133608947243943</c:v>
                </c:pt>
                <c:pt idx="8">
                  <c:v>0.91583404835741722</c:v>
                </c:pt>
                <c:pt idx="9">
                  <c:v>0.91834154505745669</c:v>
                </c:pt>
                <c:pt idx="10">
                  <c:v>0.91747184773248269</c:v>
                </c:pt>
                <c:pt idx="11">
                  <c:v>0.92520765044405584</c:v>
                </c:pt>
                <c:pt idx="12">
                  <c:v>0.94038208793857925</c:v>
                </c:pt>
                <c:pt idx="13">
                  <c:v>0.95516761826696983</c:v>
                </c:pt>
                <c:pt idx="14">
                  <c:v>0.95651056174940452</c:v>
                </c:pt>
                <c:pt idx="15">
                  <c:v>0.96954613355329822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D-49BA-B932-615651EF7E65}"/>
            </c:ext>
          </c:extLst>
        </c:ser>
        <c:ser>
          <c:idx val="1"/>
          <c:order val="1"/>
          <c:tx>
            <c:strRef>
              <c:f>proportion!$C$3</c:f>
              <c:strCache>
                <c:ptCount val="1"/>
                <c:pt idx="0">
                  <c:v>Average of Proportion Paper filling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proportion!$A$4:$A$20</c:f>
              <c:strCache>
                <c:ptCount val="1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</c:strCache>
            </c:strRef>
          </c:cat>
          <c:val>
            <c:numRef>
              <c:f>proportion!$C$4:$C$20</c:f>
              <c:numCache>
                <c:formatCode>General</c:formatCode>
                <c:ptCount val="16"/>
                <c:pt idx="0">
                  <c:v>0.29375246695829216</c:v>
                </c:pt>
                <c:pt idx="1">
                  <c:v>0.23350420724148041</c:v>
                </c:pt>
                <c:pt idx="2">
                  <c:v>0.1644941420393139</c:v>
                </c:pt>
                <c:pt idx="3">
                  <c:v>0.14519926719099963</c:v>
                </c:pt>
                <c:pt idx="4">
                  <c:v>0.1137544482882317</c:v>
                </c:pt>
                <c:pt idx="5">
                  <c:v>0.10924319923466133</c:v>
                </c:pt>
                <c:pt idx="6">
                  <c:v>0.1012002336806196</c:v>
                </c:pt>
                <c:pt idx="7">
                  <c:v>8.6639105275605782E-2</c:v>
                </c:pt>
                <c:pt idx="8">
                  <c:v>8.4165951642582962E-2</c:v>
                </c:pt>
                <c:pt idx="9">
                  <c:v>8.1658454942543368E-2</c:v>
                </c:pt>
                <c:pt idx="10">
                  <c:v>8.2528152267517224E-2</c:v>
                </c:pt>
                <c:pt idx="11">
                  <c:v>7.4792349555943799E-2</c:v>
                </c:pt>
                <c:pt idx="12">
                  <c:v>5.9617912061420628E-2</c:v>
                </c:pt>
                <c:pt idx="13">
                  <c:v>4.4832381733030009E-2</c:v>
                </c:pt>
                <c:pt idx="14">
                  <c:v>4.3489438250595654E-2</c:v>
                </c:pt>
                <c:pt idx="15">
                  <c:v>3.0453866446701641E-2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0D-49BA-B932-615651EF7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97696"/>
        <c:axId val="517698056"/>
      </c:lineChart>
      <c:catAx>
        <c:axId val="5176976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8056"/>
        <c:crosses val="autoZero"/>
        <c:auto val="1"/>
        <c:lblAlgn val="ctr"/>
        <c:lblOffset val="100"/>
        <c:noMultiLvlLbl val="0"/>
      </c:catAx>
      <c:valAx>
        <c:axId val="5176980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9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092935258092738E-2"/>
          <c:y val="0.14879410906969967"/>
          <c:w val="0.92129286964129486"/>
          <c:h val="8.565033537474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[filing-season-statistics-2009-to-current-year.xlsm]Visits on irs.gov by months!PivotTable15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Visits on irs.gov by months</a:t>
            </a:r>
          </a:p>
        </c:rich>
      </c:tx>
      <c:layout>
        <c:manualLayout>
          <c:xMode val="edge"/>
          <c:yMode val="edge"/>
          <c:x val="0.3111318897637795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762292213473313"/>
          <c:y val="0.15376502463325048"/>
          <c:w val="0.74631736657917758"/>
          <c:h val="0.59099078727428678"/>
        </c:manualLayout>
      </c:layout>
      <c:areaChart>
        <c:grouping val="stacked"/>
        <c:varyColors val="0"/>
        <c:ser>
          <c:idx val="0"/>
          <c:order val="0"/>
          <c:tx>
            <c:strRef>
              <c:f>'Visits on irs.gov by months'!$B$3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'Visits on irs.gov by months'!$A$4:$A$16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'Visits on irs.gov by months'!$B$4:$B$16</c:f>
              <c:numCache>
                <c:formatCode>General</c:formatCode>
                <c:ptCount val="12"/>
                <c:pt idx="0">
                  <c:v>276954428</c:v>
                </c:pt>
                <c:pt idx="1">
                  <c:v>8329753897</c:v>
                </c:pt>
                <c:pt idx="2">
                  <c:v>19699899256</c:v>
                </c:pt>
                <c:pt idx="3">
                  <c:v>27525041825</c:v>
                </c:pt>
                <c:pt idx="4">
                  <c:v>24209802639</c:v>
                </c:pt>
                <c:pt idx="5">
                  <c:v>10933164843</c:v>
                </c:pt>
                <c:pt idx="6">
                  <c:v>7935647113</c:v>
                </c:pt>
                <c:pt idx="7">
                  <c:v>1645510167</c:v>
                </c:pt>
                <c:pt idx="8">
                  <c:v>1657481052</c:v>
                </c:pt>
                <c:pt idx="9">
                  <c:v>14247671068</c:v>
                </c:pt>
                <c:pt idx="10">
                  <c:v>4981950018</c:v>
                </c:pt>
                <c:pt idx="11">
                  <c:v>13687001150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8-4812-AF82-2D643B31F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550544912"/>
        <c:axId val="513585424"/>
      </c:areaChart>
      <c:catAx>
        <c:axId val="55054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85424"/>
        <c:crosses val="autoZero"/>
        <c:auto val="1"/>
        <c:lblAlgn val="ctr"/>
        <c:lblOffset val="100"/>
        <c:noMultiLvlLbl val="0"/>
      </c:catAx>
      <c:valAx>
        <c:axId val="513585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4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14807524059478"/>
          <c:y val="4.2232429279673377E-2"/>
          <c:w val="8.564506359781951E-2"/>
          <c:h val="7.241957990373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95248</xdr:colOff>
      <xdr:row>1</xdr:row>
      <xdr:rowOff>166686</xdr:rowOff>
    </xdr:from>
    <xdr:to>
      <xdr:col>11</xdr:col>
      <xdr:colOff>190499</xdr:colOff>
      <xdr:row>21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08DDAA-06E7-47E0-87E2-3308EA9B6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323849</xdr:colOff>
      <xdr:row>1</xdr:row>
      <xdr:rowOff>166686</xdr:rowOff>
    </xdr:from>
    <xdr:to>
      <xdr:col>11</xdr:col>
      <xdr:colOff>95250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C13FBD-ADBE-48CA-B9B9-8386492F5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161923</xdr:colOff>
      <xdr:row>2</xdr:row>
      <xdr:rowOff>4761</xdr:rowOff>
    </xdr:from>
    <xdr:to>
      <xdr:col>13</xdr:col>
      <xdr:colOff>323850</xdr:colOff>
      <xdr:row>21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A84A96-06F3-4103-92B7-5242A09CA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2</xdr:row>
      <xdr:rowOff>33337</xdr:rowOff>
    </xdr:from>
    <xdr:to>
      <xdr:col>10</xdr:col>
      <xdr:colOff>419100</xdr:colOff>
      <xdr:row>16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C199E2-A542-514B-F4A9-4D1026280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323849</xdr:colOff>
      <xdr:row>1</xdr:row>
      <xdr:rowOff>166686</xdr:rowOff>
    </xdr:from>
    <xdr:to>
      <xdr:col>10</xdr:col>
      <xdr:colOff>581024</xdr:colOff>
      <xdr:row>18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4C37-6260-2A4D-B07E-351CC93352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urabh Mishra" refreshedDate="45450.934469907406" createdVersion="8" refreshedVersion="8" minRefreshableVersion="3" recordCount="305" xr:uid="{A97521B1-5B50-47F6-A508-03079082BD8F}">
  <cacheSource type="worksheet">
    <worksheetSource ref="B3:T308" sheet="filing-season-statistics-2009-t"/>
  </cacheSource>
  <cacheFields count="19">
    <cacheField name="Date" numFmtId="14">
      <sharedItems containsSemiMixedTypes="0" containsNonDate="0" containsDate="1" containsString="0" minDate="2009-04-03T00:00:00" maxDate="2024-05-11T00:00:00"/>
    </cacheField>
    <cacheField name="Year " numFmtId="0">
      <sharedItems containsSemiMixedTypes="0" containsString="0" containsNumber="1" containsInteger="1" minValue="2009" maxValue="2024" count="16">
        <n v="2024"/>
        <n v="2023"/>
        <n v="2022"/>
        <n v="2021"/>
        <n v="2020"/>
        <n v="2019"/>
        <n v="2018"/>
        <n v="2017"/>
        <n v="2016"/>
        <n v="2015"/>
        <n v="2014"/>
        <n v="2013"/>
        <n v="2012"/>
        <n v="2011"/>
        <n v="2010"/>
        <n v="2009"/>
      </sharedItems>
    </cacheField>
    <cacheField name="Month" numFmtId="0">
      <sharedItems containsSemiMixedTypes="0" containsString="0" containsNumber="1" containsInteger="1" minValue="1" maxValue="12" count="12">
        <n v="5"/>
        <n v="4"/>
        <n v="3"/>
        <n v="2"/>
        <n v="12"/>
        <n v="10"/>
        <n v="6"/>
        <n v="11"/>
        <n v="7"/>
        <n v="1"/>
        <n v="8"/>
        <n v="9"/>
      </sharedItems>
    </cacheField>
    <cacheField name="Day" numFmtId="0">
      <sharedItems containsSemiMixedTypes="0" containsString="0" containsNumber="1" containsInteger="1" minValue="1" maxValue="31"/>
    </cacheField>
    <cacheField name="Total returns_x000a_received" numFmtId="3">
      <sharedItems containsSemiMixedTypes="0" containsString="0" containsNumber="1" containsInteger="1" minValue="8912000" maxValue="169684000"/>
    </cacheField>
    <cacheField name="Processed " numFmtId="3">
      <sharedItems containsSemiMixedTypes="0" containsString="0" containsNumber="1" containsInteger="1" minValue="8804000" maxValue="168855000"/>
    </cacheField>
    <cacheField name="Total e-file" numFmtId="3">
      <sharedItems containsSemiMixedTypes="0" containsString="0" containsNumber="1" containsInteger="1" minValue="8366000" maxValue="152802000"/>
    </cacheField>
    <cacheField name="Tax _x000a_Pro" numFmtId="3">
      <sharedItems containsSemiMixedTypes="0" containsString="0" containsNumber="1" containsInteger="1" minValue="3192000" maxValue="85140000"/>
    </cacheField>
    <cacheField name="Self-prepared" numFmtId="3">
      <sharedItems containsSemiMixedTypes="0" containsString="0" containsNumber="1" containsInteger="1" minValue="5174000" maxValue="72220000"/>
    </cacheField>
    <cacheField name="Visits to_x000a_IRS.gov" numFmtId="3">
      <sharedItems containsSemiMixedTypes="0" containsString="0" containsNumber="1" containsInteger="1" minValue="43996932" maxValue="1947346000"/>
    </cacheField>
    <cacheField name="Number" numFmtId="3">
      <sharedItems containsSemiMixedTypes="0" containsString="0" containsNumber="1" containsInteger="1" minValue="1136000" maxValue="129841000"/>
    </cacheField>
    <cacheField name="Amount_x000a_(in billions of dollars)" numFmtId="8">
      <sharedItems containsSemiMixedTypes="0" containsString="0" containsNumber="1" minValue="2.16" maxValue="365.5"/>
    </cacheField>
    <cacheField name="Average_x000a_refund" numFmtId="6">
      <sharedItems containsSemiMixedTypes="0" containsString="0" containsNumber="1" containsInteger="1" minValue="1395" maxValue="3539"/>
    </cacheField>
    <cacheField name="(ddr)Number" numFmtId="3">
      <sharedItems containsSemiMixedTypes="0" containsString="0" containsNumber="1" containsInteger="1" minValue="1099000" maxValue="113283000"/>
    </cacheField>
    <cacheField name="(ddr)Amount_x000a_(in billions of dollars)" numFmtId="8">
      <sharedItems containsSemiMixedTypes="0" containsString="0" containsNumber="1" minValue="2.11" maxValue="331.84"/>
    </cacheField>
    <cacheField name="(ddr)Average_x000a_refund" numFmtId="6">
      <sharedItems containsSemiMixedTypes="0" containsString="0" containsNumber="1" containsInteger="1" minValue="1543" maxValue="3590"/>
    </cacheField>
    <cacheField name="Paper filling" numFmtId="3">
      <sharedItems containsSemiMixedTypes="0" containsString="0" containsNumber="1" containsInteger="1" minValue="409000" maxValue="48882000"/>
    </cacheField>
    <cacheField name="ProPortion e-filling" numFmtId="0">
      <sharedItems containsSemiMixedTypes="0" containsString="0" containsNumber="1" minValue="0.66138819617622613" maxValue="0.9806579742681979"/>
    </cacheField>
    <cacheField name="Proportion Paper filling" numFmtId="0">
      <sharedItems containsSemiMixedTypes="0" containsString="0" containsNumber="1" minValue="1.934202573180209E-2" maxValue="0.338611803823773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urabh Mishra" refreshedDate="45450.959378009262" createdVersion="8" refreshedVersion="8" minRefreshableVersion="3" recordCount="305" xr:uid="{3F7B7822-E7DF-4071-B716-62705C8FD045}">
  <cacheSource type="worksheet">
    <worksheetSource ref="A3:T308" sheet="filing-season-statistics-2009-t"/>
  </cacheSource>
  <cacheFields count="20">
    <cacheField name="Month_name" numFmtId="0">
      <sharedItems count="12">
        <s v="May"/>
        <s v="April"/>
        <s v="March"/>
        <s v="February"/>
        <s v="December"/>
        <s v="October"/>
        <s v="June"/>
        <s v="November"/>
        <s v="July"/>
        <s v="January"/>
        <s v="August"/>
        <s v="September"/>
      </sharedItems>
    </cacheField>
    <cacheField name="Date" numFmtId="14">
      <sharedItems containsSemiMixedTypes="0" containsNonDate="0" containsDate="1" containsString="0" minDate="2009-04-03T00:00:00" maxDate="2024-05-11T00:00:00"/>
    </cacheField>
    <cacheField name="Year " numFmtId="0">
      <sharedItems containsSemiMixedTypes="0" containsString="0" containsNumber="1" containsInteger="1" minValue="2009" maxValue="2024" count="16">
        <n v="2024"/>
        <n v="2023"/>
        <n v="2022"/>
        <n v="2021"/>
        <n v="2020"/>
        <n v="2019"/>
        <n v="2018"/>
        <n v="2017"/>
        <n v="2016"/>
        <n v="2015"/>
        <n v="2014"/>
        <n v="2013"/>
        <n v="2012"/>
        <n v="2011"/>
        <n v="2010"/>
        <n v="2009"/>
      </sharedItems>
    </cacheField>
    <cacheField name="Month" numFmtId="0">
      <sharedItems containsSemiMixedTypes="0" containsString="0" containsNumber="1" containsInteger="1" minValue="1" maxValue="12"/>
    </cacheField>
    <cacheField name="Day" numFmtId="0">
      <sharedItems containsSemiMixedTypes="0" containsString="0" containsNumber="1" containsInteger="1" minValue="1" maxValue="31"/>
    </cacheField>
    <cacheField name="Total returns_x000a_received" numFmtId="3">
      <sharedItems containsSemiMixedTypes="0" containsString="0" containsNumber="1" containsInteger="1" minValue="8912000" maxValue="169684000"/>
    </cacheField>
    <cacheField name="Processed " numFmtId="3">
      <sharedItems containsSemiMixedTypes="0" containsString="0" containsNumber="1" containsInteger="1" minValue="8804000" maxValue="168855000"/>
    </cacheField>
    <cacheField name="Total e-file" numFmtId="3">
      <sharedItems containsSemiMixedTypes="0" containsString="0" containsNumber="1" containsInteger="1" minValue="8366000" maxValue="152802000"/>
    </cacheField>
    <cacheField name="Tax _x000a_Pro" numFmtId="3">
      <sharedItems containsSemiMixedTypes="0" containsString="0" containsNumber="1" containsInteger="1" minValue="3192000" maxValue="85140000"/>
    </cacheField>
    <cacheField name="Self-prepared" numFmtId="3">
      <sharedItems containsSemiMixedTypes="0" containsString="0" containsNumber="1" containsInteger="1" minValue="5174000" maxValue="72220000"/>
    </cacheField>
    <cacheField name="Visits to_x000a_IRS.gov" numFmtId="3">
      <sharedItems containsSemiMixedTypes="0" containsString="0" containsNumber="1" containsInteger="1" minValue="43996932" maxValue="1947346000"/>
    </cacheField>
    <cacheField name="Number" numFmtId="3">
      <sharedItems containsSemiMixedTypes="0" containsString="0" containsNumber="1" containsInteger="1" minValue="1136000" maxValue="129841000"/>
    </cacheField>
    <cacheField name="Amount_x000a_(in billions of dollars)" numFmtId="8">
      <sharedItems containsSemiMixedTypes="0" containsString="0" containsNumber="1" minValue="2.16" maxValue="365.5"/>
    </cacheField>
    <cacheField name="Average_x000a_refund" numFmtId="6">
      <sharedItems containsSemiMixedTypes="0" containsString="0" containsNumber="1" containsInteger="1" minValue="1395" maxValue="3539"/>
    </cacheField>
    <cacheField name="(ddr)Number" numFmtId="3">
      <sharedItems containsSemiMixedTypes="0" containsString="0" containsNumber="1" containsInteger="1" minValue="1099000" maxValue="113283000"/>
    </cacheField>
    <cacheField name="(ddr)Amount_x000a_(in billions of dollars)" numFmtId="8">
      <sharedItems containsSemiMixedTypes="0" containsString="0" containsNumber="1" minValue="2.11" maxValue="331.84"/>
    </cacheField>
    <cacheField name="(ddr)Average_x000a_refund" numFmtId="6">
      <sharedItems containsSemiMixedTypes="0" containsString="0" containsNumber="1" containsInteger="1" minValue="1543" maxValue="3590"/>
    </cacheField>
    <cacheField name="Paper filling" numFmtId="3">
      <sharedItems containsSemiMixedTypes="0" containsString="0" containsNumber="1" containsInteger="1" minValue="409000" maxValue="48882000"/>
    </cacheField>
    <cacheField name="ProPortion e-filling" numFmtId="0">
      <sharedItems containsSemiMixedTypes="0" containsString="0" containsNumber="1" minValue="0.66138819617622613" maxValue="0.9806579742681979"/>
    </cacheField>
    <cacheField name="Proportion Paper filling" numFmtId="0">
      <sharedItems containsSemiMixedTypes="0" containsString="0" containsNumber="1" minValue="1.934202573180209E-2" maxValue="0.338611803823773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d v="2024-05-10T00:00:00"/>
    <x v="0"/>
    <x v="0"/>
    <n v="10"/>
    <n v="144018000"/>
    <n v="141317000"/>
    <n v="137394000"/>
    <n v="73531000"/>
    <n v="63864000"/>
    <n v="623409000"/>
    <n v="93940000"/>
    <n v="269.49"/>
    <n v="2869"/>
    <n v="86665000"/>
    <n v="256.56"/>
    <n v="2960"/>
    <n v="6624000"/>
    <n v="0.95400574928133985"/>
    <n v="4.5994250718660167E-2"/>
  </r>
  <r>
    <d v="2024-05-03T00:00:00"/>
    <x v="0"/>
    <x v="0"/>
    <n v="3"/>
    <n v="142814000"/>
    <n v="139946000"/>
    <n v="136642000"/>
    <n v="72920000"/>
    <n v="63722000"/>
    <n v="608730000"/>
    <n v="92878000"/>
    <n v="265.98"/>
    <n v="2864"/>
    <n v="85844000"/>
    <n v="253.73"/>
    <n v="2956"/>
    <n v="6172000"/>
    <n v="0.95678294845043199"/>
    <n v="4.3217051549567967E-2"/>
  </r>
  <r>
    <d v="2024-04-26T00:00:00"/>
    <x v="0"/>
    <x v="1"/>
    <n v="26"/>
    <n v="141363000"/>
    <n v="138356000"/>
    <n v="135724000"/>
    <n v="72201000"/>
    <n v="63523000"/>
    <n v="591742000"/>
    <n v="91359000"/>
    <n v="260.56"/>
    <n v="2852"/>
    <n v="84661000"/>
    <n v="249.31"/>
    <n v="2945"/>
    <n v="5639000"/>
    <n v="0.96010978827557425"/>
    <n v="3.9890211724425771E-2"/>
  </r>
  <r>
    <d v="2024-04-19T00:00:00"/>
    <x v="0"/>
    <x v="1"/>
    <n v="19"/>
    <n v="139137000"/>
    <n v="136069000"/>
    <n v="134531000"/>
    <n v="71327000"/>
    <n v="63204000"/>
    <n v="571496000"/>
    <n v="86058000"/>
    <n v="245.23"/>
    <n v="2850"/>
    <n v="80028000"/>
    <n v="235.82"/>
    <n v="2947"/>
    <n v="4606000"/>
    <n v="0.96689593709796817"/>
    <n v="3.3104062902031807E-2"/>
  </r>
  <r>
    <d v="2024-04-12T00:00:00"/>
    <x v="0"/>
    <x v="1"/>
    <n v="12"/>
    <n v="119592000"/>
    <n v="118114000"/>
    <n v="115734000"/>
    <n v="63318000"/>
    <n v="52416000"/>
    <n v="533981000"/>
    <n v="74685000"/>
    <n v="220.15"/>
    <n v="2948"/>
    <n v="70369000"/>
    <n v="213.29"/>
    <n v="3031"/>
    <n v="3858000"/>
    <n v="0.9677403170780654"/>
    <n v="3.2259682921934575E-2"/>
  </r>
  <r>
    <d v="2024-04-05T00:00:00"/>
    <x v="0"/>
    <x v="1"/>
    <n v="5"/>
    <n v="101849000"/>
    <n v="100110000"/>
    <n v="98421000"/>
    <n v="53157000"/>
    <n v="45264000"/>
    <n v="497397000"/>
    <n v="66799000"/>
    <n v="201.12"/>
    <n v="3011"/>
    <n v="63445000"/>
    <n v="195.9"/>
    <n v="3088"/>
    <n v="3428000"/>
    <n v="0.96634233031252148"/>
    <n v="3.365766968747852E-2"/>
  </r>
  <r>
    <d v="2024-03-29T00:00:00"/>
    <x v="0"/>
    <x v="2"/>
    <n v="29"/>
    <n v="90315000"/>
    <n v="88800000"/>
    <n v="87369000"/>
    <n v="46302000"/>
    <n v="41068000"/>
    <n v="467978000"/>
    <n v="60858000"/>
    <n v="185.64"/>
    <n v="3050"/>
    <n v="58126000"/>
    <n v="181.61"/>
    <n v="3124"/>
    <n v="2946000"/>
    <n v="0.96738083374854678"/>
    <n v="3.2619166251453245E-2"/>
  </r>
  <r>
    <d v="2024-03-22T00:00:00"/>
    <x v="0"/>
    <x v="2"/>
    <n v="22"/>
    <n v="80470000"/>
    <n v="79243000"/>
    <n v="78023000"/>
    <n v="40311000"/>
    <n v="37713000"/>
    <n v="441085000"/>
    <n v="54990000"/>
    <n v="169.41"/>
    <n v="3081"/>
    <n v="52795000"/>
    <n v="166.42"/>
    <n v="3152"/>
    <n v="2447000"/>
    <n v="0.9695911519821051"/>
    <n v="3.0408848017894868E-2"/>
  </r>
  <r>
    <d v="2024-03-15T00:00:00"/>
    <x v="0"/>
    <x v="2"/>
    <n v="15"/>
    <n v="71587000"/>
    <n v="70569000"/>
    <n v="69543000"/>
    <n v="34880000"/>
    <n v="34664000"/>
    <n v="411961000"/>
    <n v="49145000"/>
    <n v="152.77000000000001"/>
    <n v="3109"/>
    <n v="47425000"/>
    <n v="150.66999999999999"/>
    <n v="3177"/>
    <n v="2044000"/>
    <n v="0.97144732982245374"/>
    <n v="2.8552670177546202E-2"/>
  </r>
  <r>
    <d v="2024-03-08T00:00:00"/>
    <x v="0"/>
    <x v="2"/>
    <n v="8"/>
    <n v="62761000"/>
    <n v="61877000"/>
    <n v="61165000"/>
    <n v="29644000"/>
    <n v="31521000"/>
    <n v="376622000"/>
    <n v="43020000"/>
    <n v="135.28"/>
    <n v="3145"/>
    <n v="41719000"/>
    <n v="133.9"/>
    <n v="3209"/>
    <n v="1596000"/>
    <n v="0.97457019486623864"/>
    <n v="2.5429805133761411E-2"/>
  </r>
  <r>
    <d v="2024-03-01T00:00:00"/>
    <x v="0"/>
    <x v="2"/>
    <n v="1"/>
    <n v="54030000"/>
    <n v="53231000"/>
    <n v="52795000"/>
    <n v="24516000"/>
    <n v="28279000"/>
    <n v="337328000"/>
    <n v="36288000"/>
    <n v="115.47"/>
    <n v="3182"/>
    <n v="35369000"/>
    <n v="114.74"/>
    <n v="3244"/>
    <n v="1235000"/>
    <n v="0.97714232833610959"/>
    <n v="2.2857671663890432E-2"/>
  </r>
  <r>
    <d v="2024-02-23T00:00:00"/>
    <x v="0"/>
    <x v="3"/>
    <n v="23"/>
    <n v="44584000"/>
    <n v="44073000"/>
    <n v="43661000"/>
    <n v="19290000"/>
    <n v="24371000"/>
    <n v="292164000"/>
    <n v="28945000"/>
    <n v="92.99"/>
    <n v="3213"/>
    <n v="28374000"/>
    <n v="92.84"/>
    <n v="3272"/>
    <n v="923000"/>
    <n v="0.97929750583168851"/>
    <n v="2.0702494168311502E-2"/>
  </r>
  <r>
    <d v="2024-02-16T00:00:00"/>
    <x v="0"/>
    <x v="3"/>
    <n v="16"/>
    <n v="34743000"/>
    <n v="34546000"/>
    <n v="34071000"/>
    <n v="14138000"/>
    <n v="19933000"/>
    <n v="231436000"/>
    <n v="20883000"/>
    <n v="66.98"/>
    <n v="3207"/>
    <n v="20574000"/>
    <n v="67.180000000000007"/>
    <n v="3265"/>
    <n v="672000"/>
    <n v="0.9806579742681979"/>
    <n v="1.934202573180209E-2"/>
  </r>
  <r>
    <d v="2024-02-09T00:00:00"/>
    <x v="0"/>
    <x v="3"/>
    <n v="9"/>
    <n v="25553000"/>
    <n v="25443000"/>
    <n v="24989000"/>
    <n v="9420000"/>
    <n v="15570000"/>
    <n v="158617000"/>
    <n v="7483000"/>
    <n v="13.03"/>
    <n v="1741"/>
    <n v="7417000"/>
    <n v="13.58"/>
    <n v="1831"/>
    <n v="564000"/>
    <n v="0.97792822760536924"/>
    <n v="2.2071772394630769E-2"/>
  </r>
  <r>
    <d v="2024-02-02T00:00:00"/>
    <x v="0"/>
    <x v="3"/>
    <n v="2"/>
    <n v="15318000"/>
    <n v="13928000"/>
    <n v="14909000"/>
    <n v="4874000"/>
    <n v="10035000"/>
    <n v="104788000"/>
    <n v="2616000"/>
    <n v="3.65"/>
    <n v="1395"/>
    <n v="2645000"/>
    <n v="4.08"/>
    <n v="1543"/>
    <n v="409000"/>
    <n v="0.97329938634286461"/>
    <n v="2.6700613657135396E-2"/>
  </r>
  <r>
    <d v="2023-12-29T00:00:00"/>
    <x v="1"/>
    <x v="4"/>
    <n v="29"/>
    <n v="162037000"/>
    <n v="162952000"/>
    <n v="150141000"/>
    <n v="85049000"/>
    <n v="65092000"/>
    <n v="871133000"/>
    <n v="105734000"/>
    <n v="334.86"/>
    <n v="3167"/>
    <n v="96592000"/>
    <n v="303.76"/>
    <n v="3145"/>
    <n v="11896000"/>
    <n v="0.92658466893363867"/>
    <n v="7.3415331066361389E-2"/>
  </r>
  <r>
    <d v="2023-10-27T00:00:00"/>
    <x v="1"/>
    <x v="5"/>
    <n v="27"/>
    <n v="160494000"/>
    <n v="161157000"/>
    <n v="149504000"/>
    <n v="84455000"/>
    <n v="65049000"/>
    <n v="788747000"/>
    <n v="104658000"/>
    <n v="319.66000000000003"/>
    <n v="3054"/>
    <n v="95895000"/>
    <n v="296.20999999999998"/>
    <n v="3089"/>
    <n v="10990000"/>
    <n v="0.93152391989731709"/>
    <n v="6.8476080102682968E-2"/>
  </r>
  <r>
    <d v="2023-10-20T00:00:00"/>
    <x v="1"/>
    <x v="5"/>
    <n v="20"/>
    <n v="160071000"/>
    <n v="160736000"/>
    <n v="149340000"/>
    <n v="84320000"/>
    <n v="65021000"/>
    <n v="779769000"/>
    <n v="103791000"/>
    <n v="308.99"/>
    <n v="2977"/>
    <n v="95326000"/>
    <n v="288.85000000000002"/>
    <n v="3030"/>
    <n v="10731000"/>
    <n v="0.93296099855689041"/>
    <n v="6.7039001443109619E-2"/>
  </r>
  <r>
    <d v="2023-05-12T00:00:00"/>
    <x v="1"/>
    <x v="0"/>
    <n v="12"/>
    <n v="142577000"/>
    <n v="140224000"/>
    <n v="134911000"/>
    <n v="72651000"/>
    <n v="62260000"/>
    <n v="536829000"/>
    <n v="94884000"/>
    <n v="266.85000000000002"/>
    <n v="2812"/>
    <n v="88435000"/>
    <n v="253.89"/>
    <n v="2871"/>
    <n v="7666000"/>
    <n v="0.94623256205418826"/>
    <n v="5.3767437945811736E-2"/>
  </r>
  <r>
    <d v="2023-05-05T00:00:00"/>
    <x v="1"/>
    <x v="0"/>
    <n v="5"/>
    <n v="141137000"/>
    <n v="138795000"/>
    <n v="134147000"/>
    <n v="72047000"/>
    <n v="62100000"/>
    <n v="523069000"/>
    <n v="93790000"/>
    <n v="262.89"/>
    <n v="2803"/>
    <n v="88380000"/>
    <n v="253.73"/>
    <n v="2871"/>
    <n v="6990000"/>
    <n v="0.95047365325889033"/>
    <n v="4.95263467411097E-2"/>
  </r>
  <r>
    <d v="2023-04-28T00:00:00"/>
    <x v="1"/>
    <x v="1"/>
    <n v="28"/>
    <n v="139375000"/>
    <n v="136909000"/>
    <n v="133229000"/>
    <n v="71347000"/>
    <n v="61883000"/>
    <n v="507207000"/>
    <n v="91800000"/>
    <n v="254.96"/>
    <n v="2777"/>
    <n v="86773000"/>
    <n v="247.21"/>
    <n v="2849"/>
    <n v="6146000"/>
    <n v="0.95590313901345292"/>
    <n v="4.4096860986547082E-2"/>
  </r>
  <r>
    <d v="2023-04-21T00:00:00"/>
    <x v="1"/>
    <x v="1"/>
    <n v="21"/>
    <n v="137144000"/>
    <n v="134649000"/>
    <n v="132009000"/>
    <n v="70492000"/>
    <n v="61517000"/>
    <n v="488119000"/>
    <n v="85935000"/>
    <n v="236.62"/>
    <n v="2753"/>
    <n v="81799000"/>
    <n v="231.28"/>
    <n v="2827"/>
    <n v="5135000"/>
    <n v="0.9625576036866359"/>
    <n v="3.7442396313364053E-2"/>
  </r>
  <r>
    <d v="2023-04-14T00:00:00"/>
    <x v="1"/>
    <x v="1"/>
    <n v="14"/>
    <n v="117321000"/>
    <n v="116175000"/>
    <n v="113201000"/>
    <n v="62174000"/>
    <n v="51027000"/>
    <n v="452290000"/>
    <n v="75824000"/>
    <n v="215.36"/>
    <n v="2840"/>
    <n v="73121000"/>
    <n v="212.22"/>
    <n v="2902"/>
    <n v="4120000"/>
    <n v="0.9648826723263525"/>
    <n v="3.5117327673647517E-2"/>
  </r>
  <r>
    <d v="2023-04-07T00:00:00"/>
    <x v="1"/>
    <x v="1"/>
    <n v="7"/>
    <n v="101320000"/>
    <n v="100367000"/>
    <n v="97831000"/>
    <n v="53165000"/>
    <n v="44666000"/>
    <n v="420715000"/>
    <n v="69095000"/>
    <n v="198.87"/>
    <n v="2878"/>
    <n v="66356000"/>
    <n v="195.25"/>
    <n v="2942"/>
    <n v="3489000"/>
    <n v="0.96556454796683777"/>
    <n v="3.4435452033162256E-2"/>
  </r>
  <r>
    <d v="2023-03-31T00:00:00"/>
    <x v="1"/>
    <x v="2"/>
    <n v="31"/>
    <n v="90111000"/>
    <n v="89656000"/>
    <n v="87126000"/>
    <n v="46517000"/>
    <n v="40609000"/>
    <n v="395430000"/>
    <n v="62932000"/>
    <n v="183.13"/>
    <n v="2910"/>
    <n v="60867000"/>
    <n v="180.75"/>
    <n v="2970"/>
    <n v="2985000"/>
    <n v="0.96687418850084894"/>
    <n v="3.3125811499151045E-2"/>
  </r>
  <r>
    <d v="2023-03-24T00:00:00"/>
    <x v="1"/>
    <x v="2"/>
    <n v="24"/>
    <n v="80683000"/>
    <n v="80369000"/>
    <n v="78167000"/>
    <n v="40671000"/>
    <n v="37496000"/>
    <n v="370706000"/>
    <n v="59342000"/>
    <n v="172.26"/>
    <n v="2903"/>
    <n v="55902000"/>
    <n v="167.2"/>
    <n v="2991"/>
    <n v="2516000"/>
    <n v="0.9688162314242158"/>
    <n v="3.118376857578424E-2"/>
  </r>
  <r>
    <d v="2023-03-17T00:00:00"/>
    <x v="1"/>
    <x v="2"/>
    <n v="17"/>
    <n v="71861000"/>
    <n v="71455000"/>
    <n v="69774000"/>
    <n v="35239000"/>
    <n v="34535000"/>
    <n v="345454000"/>
    <n v="53912000"/>
    <n v="158.1"/>
    <n v="2933"/>
    <n v="50940000"/>
    <n v="153.80000000000001"/>
    <n v="3019"/>
    <n v="2087000"/>
    <n v="0.97095782134954978"/>
    <n v="2.9042178650450175E-2"/>
  </r>
  <r>
    <d v="2023-03-10T00:00:00"/>
    <x v="1"/>
    <x v="2"/>
    <n v="10"/>
    <n v="63442000"/>
    <n v="63191000"/>
    <n v="61713000"/>
    <n v="30215000"/>
    <n v="31498000"/>
    <n v="318555000"/>
    <n v="49174000"/>
    <n v="146.16999999999999"/>
    <n v="2972"/>
    <n v="45757000"/>
    <n v="140.65"/>
    <n v="3074"/>
    <n v="1729000"/>
    <n v="0.97274676082090727"/>
    <n v="2.7253239179092715E-2"/>
  </r>
  <r>
    <d v="2023-03-03T00:00:00"/>
    <x v="1"/>
    <x v="2"/>
    <n v="3"/>
    <n v="54948000"/>
    <n v="54341000"/>
    <n v="53598000"/>
    <n v="25210000"/>
    <n v="28387000"/>
    <n v="289829000"/>
    <n v="42040000"/>
    <n v="127.31"/>
    <n v="3028"/>
    <n v="39907000"/>
    <n v="124.31"/>
    <n v="3115"/>
    <n v="1350000"/>
    <n v="0.97543131688141516"/>
    <n v="2.4568683118584844E-2"/>
  </r>
  <r>
    <d v="2023-02-24T00:00:00"/>
    <x v="1"/>
    <x v="3"/>
    <n v="24"/>
    <n v="45983000"/>
    <n v="45722000"/>
    <n v="44962000"/>
    <n v="20239000"/>
    <n v="24723000"/>
    <n v="256924000"/>
    <n v="35142000"/>
    <n v="108.2"/>
    <n v="3079"/>
    <n v="33377000"/>
    <n v="105.81"/>
    <n v="3170"/>
    <n v="1021000"/>
    <n v="0.97779614205249765"/>
    <n v="2.2203857947502337E-2"/>
  </r>
  <r>
    <d v="2023-02-17T00:00:00"/>
    <x v="1"/>
    <x v="3"/>
    <n v="17"/>
    <n v="36859000"/>
    <n v="36769000"/>
    <n v="36079000"/>
    <n v="15380000"/>
    <n v="20698000"/>
    <n v="212815000"/>
    <n v="27781000"/>
    <n v="87.25"/>
    <n v="3140"/>
    <n v="26321000"/>
    <n v="85.3"/>
    <n v="3241"/>
    <n v="780000"/>
    <n v="0.97883827559076486"/>
    <n v="2.1161724409235194E-2"/>
  </r>
  <r>
    <d v="2023-02-10T00:00:00"/>
    <x v="1"/>
    <x v="3"/>
    <n v="10"/>
    <n v="28826000"/>
    <n v="26622000"/>
    <n v="27239000"/>
    <n v="10664000"/>
    <n v="16575000"/>
    <n v="149706000"/>
    <n v="13341000"/>
    <n v="26.65"/>
    <n v="1997"/>
    <n v="12186000"/>
    <n v="25.39"/>
    <n v="2084"/>
    <n v="1587000"/>
    <n v="0.9449455352806494"/>
    <n v="5.5054464719350583E-2"/>
  </r>
  <r>
    <d v="2023-02-03T00:00:00"/>
    <x v="1"/>
    <x v="3"/>
    <n v="3"/>
    <n v="18946000"/>
    <n v="16767000"/>
    <n v="17508000"/>
    <n v="6066000"/>
    <n v="11442000"/>
    <n v="105829000"/>
    <n v="7996000"/>
    <n v="15.7"/>
    <n v="1963"/>
    <n v="6944000"/>
    <n v="14.28"/>
    <n v="2056"/>
    <n v="1438000"/>
    <n v="0.92410007389422566"/>
    <n v="7.5899926105774312E-2"/>
  </r>
  <r>
    <d v="2022-12-30T00:00:00"/>
    <x v="2"/>
    <x v="4"/>
    <n v="30"/>
    <n v="165774000"/>
    <n v="168855000"/>
    <n v="152089000"/>
    <n v="85140000"/>
    <n v="66949000"/>
    <n v="1026942000"/>
    <n v="110567000"/>
    <n v="359.52"/>
    <n v="3252"/>
    <n v="100758000"/>
    <n v="331.84"/>
    <n v="3293"/>
    <n v="13685000"/>
    <n v="0.91744785068828649"/>
    <n v="8.2552149311713535E-2"/>
  </r>
  <r>
    <d v="2022-10-28T00:00:00"/>
    <x v="2"/>
    <x v="5"/>
    <n v="28"/>
    <n v="164246000"/>
    <n v="164997000"/>
    <n v="151448000"/>
    <n v="84616000"/>
    <n v="66832000"/>
    <n v="942947000"/>
    <n v="108622000"/>
    <n v="344.95"/>
    <n v="3176"/>
    <n v="99636000"/>
    <n v="324.16000000000003"/>
    <n v="3253"/>
    <n v="12798000"/>
    <n v="0.92208029419285709"/>
    <n v="7.7919705807142942E-2"/>
  </r>
  <r>
    <d v="2022-10-21T00:00:00"/>
    <x v="2"/>
    <x v="5"/>
    <n v="21"/>
    <n v="163762000"/>
    <n v="163967000"/>
    <n v="151264000"/>
    <n v="84485000"/>
    <n v="66780000"/>
    <n v="932164000"/>
    <n v="107880000"/>
    <n v="337.6"/>
    <n v="3129"/>
    <n v="99182000"/>
    <n v="319.5"/>
    <n v="3221"/>
    <n v="12498000"/>
    <n v="0.92368192865255672"/>
    <n v="7.6318071347443242E-2"/>
  </r>
  <r>
    <d v="2022-05-20T00:00:00"/>
    <x v="2"/>
    <x v="0"/>
    <n v="20"/>
    <n v="145372000"/>
    <n v="140618000"/>
    <n v="137177000"/>
    <n v="73356000"/>
    <n v="63820000"/>
    <n v="679249000"/>
    <n v="96274000"/>
    <n v="292.54000000000002"/>
    <n v="3039"/>
    <n v="90527000"/>
    <n v="282.52999999999997"/>
    <n v="3121"/>
    <n v="8195000"/>
    <n v="0.94362738354015907"/>
    <n v="5.6372616459840957E-2"/>
  </r>
  <r>
    <d v="2022-05-13T00:00:00"/>
    <x v="2"/>
    <x v="0"/>
    <n v="13"/>
    <n v="144341000"/>
    <n v="139460000"/>
    <n v="136430000"/>
    <n v="72774000"/>
    <n v="63656000"/>
    <n v="664529000"/>
    <n v="95539000"/>
    <n v="289.73"/>
    <n v="3033"/>
    <n v="89867000"/>
    <n v="279.97000000000003"/>
    <n v="3115"/>
    <n v="7911000"/>
    <n v="0.94519228770758135"/>
    <n v="5.4807712292418646E-2"/>
  </r>
  <r>
    <d v="2022-05-06T00:00:00"/>
    <x v="2"/>
    <x v="0"/>
    <n v="6"/>
    <n v="143164000"/>
    <n v="138075000"/>
    <n v="135611000"/>
    <n v="72130000"/>
    <n v="63481000"/>
    <n v="648533000"/>
    <n v="94399000"/>
    <n v="285.55"/>
    <n v="3025"/>
    <n v="88861000"/>
    <n v="276.2"/>
    <n v="3108"/>
    <n v="7553000"/>
    <n v="0.94724232348914528"/>
    <n v="5.2757676510854681E-2"/>
  </r>
  <r>
    <d v="2022-04-29T00:00:00"/>
    <x v="2"/>
    <x v="1"/>
    <n v="29"/>
    <n v="141272000"/>
    <n v="136484000"/>
    <n v="134646000"/>
    <n v="71395000"/>
    <n v="63251000"/>
    <n v="630458000"/>
    <n v="92523000"/>
    <n v="279.27999999999997"/>
    <n v="3019"/>
    <n v="87233000"/>
    <n v="270.62"/>
    <n v="3102"/>
    <n v="6626000"/>
    <n v="0.95309757064386436"/>
    <n v="4.6902429356135679E-2"/>
  </r>
  <r>
    <d v="2022-04-22T00:00:00"/>
    <x v="2"/>
    <x v="1"/>
    <n v="22"/>
    <n v="138942000"/>
    <n v="133773000"/>
    <n v="133410000"/>
    <n v="70509000"/>
    <n v="62900000"/>
    <n v="609075000"/>
    <n v="88667000"/>
    <n v="267.02"/>
    <n v="3012"/>
    <n v="83891000"/>
    <n v="259.97000000000003"/>
    <n v="3099"/>
    <n v="5532000"/>
    <n v="0.96018482532279659"/>
    <n v="3.9815174677203434E-2"/>
  </r>
  <r>
    <d v="2022-04-15T00:00:00"/>
    <x v="2"/>
    <x v="1"/>
    <n v="15"/>
    <n v="122543000"/>
    <n v="118826000"/>
    <n v="117859000"/>
    <n v="63692000"/>
    <n v="54167000"/>
    <n v="571818000"/>
    <n v="78201000"/>
    <n v="242.63"/>
    <n v="3103"/>
    <n v="74769000"/>
    <n v="237.82"/>
    <n v="3181"/>
    <n v="4684000"/>
    <n v="0.96177668247064296"/>
    <n v="3.8223317529357044E-2"/>
  </r>
  <r>
    <d v="2022-04-08T00:00:00"/>
    <x v="2"/>
    <x v="1"/>
    <n v="8"/>
    <n v="103315000"/>
    <n v="99785000"/>
    <n v="99290000"/>
    <n v="53018000"/>
    <n v="46272000"/>
    <n v="531901000"/>
    <n v="70040000"/>
    <n v="222.34"/>
    <n v="3175"/>
    <n v="66632000"/>
    <n v="216.98"/>
    <n v="3256"/>
    <n v="4025000"/>
    <n v="0.96104147510042104"/>
    <n v="3.8958524899578954E-2"/>
  </r>
  <r>
    <d v="2022-04-01T00:00:00"/>
    <x v="2"/>
    <x v="1"/>
    <n v="1"/>
    <n v="91260000"/>
    <n v="89267000"/>
    <n v="87869000"/>
    <n v="45901000"/>
    <n v="41968000"/>
    <n v="478849000"/>
    <n v="63357000"/>
    <n v="204.41"/>
    <n v="3226"/>
    <n v="60606000"/>
    <n v="200.24"/>
    <n v="3304"/>
    <n v="3391000"/>
    <n v="0.96284242822704358"/>
    <n v="3.7157571772956387E-2"/>
  </r>
  <r>
    <d v="2022-03-25T00:00:00"/>
    <x v="2"/>
    <x v="2"/>
    <n v="25"/>
    <n v="81371000"/>
    <n v="78858000"/>
    <n v="78426000"/>
    <n v="39909000"/>
    <n v="38517000"/>
    <n v="468160000"/>
    <n v="57830000"/>
    <n v="188.69"/>
    <n v="3263"/>
    <n v="55561000"/>
    <n v="185.43"/>
    <n v="3337"/>
    <n v="2945000"/>
    <n v="0.96380774477393671"/>
    <n v="3.6192255226063341E-2"/>
  </r>
  <r>
    <d v="2022-03-18T00:00:00"/>
    <x v="2"/>
    <x v="2"/>
    <n v="18"/>
    <n v="72223000"/>
    <n v="70305000"/>
    <n v="69852000"/>
    <n v="34395000"/>
    <n v="35457000"/>
    <n v="435510000"/>
    <n v="51775000"/>
    <n v="171.14"/>
    <n v="3305"/>
    <n v="49960000"/>
    <n v="168.56"/>
    <n v="3374"/>
    <n v="2371000"/>
    <n v="0.96717112277252404"/>
    <n v="3.282887722747601E-2"/>
  </r>
  <r>
    <d v="2022-03-11T00:00:00"/>
    <x v="2"/>
    <x v="2"/>
    <n v="11"/>
    <n v="63474000"/>
    <n v="61962000"/>
    <n v="61605000"/>
    <n v="29303000"/>
    <n v="32302000"/>
    <n v="399448000"/>
    <n v="45319000"/>
    <n v="151.93"/>
    <n v="3352"/>
    <n v="43951000"/>
    <n v="150.16999999999999"/>
    <n v="3417"/>
    <n v="1869000"/>
    <n v="0.97055487286132902"/>
    <n v="2.9445127138670951E-2"/>
  </r>
  <r>
    <d v="2022-03-04T00:00:00"/>
    <x v="2"/>
    <x v="2"/>
    <n v="4"/>
    <n v="54741000"/>
    <n v="53053000"/>
    <n v="53216000"/>
    <n v="24201000"/>
    <n v="29015000"/>
    <n v="357372000"/>
    <n v="37999000"/>
    <n v="129.22999999999999"/>
    <n v="3401"/>
    <n v="37049000"/>
    <n v="128.25"/>
    <n v="3462"/>
    <n v="1525000"/>
    <n v="0.97214153924846092"/>
    <n v="2.7858460751539065E-2"/>
  </r>
  <r>
    <d v="2022-02-25T00:00:00"/>
    <x v="2"/>
    <x v="3"/>
    <n v="25"/>
    <n v="45413000"/>
    <n v="43818000"/>
    <n v="44293000"/>
    <n v="19082000"/>
    <n v="25211000"/>
    <n v="307581000"/>
    <n v="29723000"/>
    <n v="103.22"/>
    <n v="3473"/>
    <n v="29190000"/>
    <n v="103.02"/>
    <n v="3529"/>
    <n v="1120000"/>
    <n v="0.97533745843701147"/>
    <n v="2.4662541562988572E-2"/>
  </r>
  <r>
    <d v="2022-02-18T00:00:00"/>
    <x v="2"/>
    <x v="3"/>
    <n v="18"/>
    <n v="35922000"/>
    <n v="33464000"/>
    <n v="34940000"/>
    <n v="14213000"/>
    <n v="20726000"/>
    <n v="248303000"/>
    <n v="22065000"/>
    <n v="78.02"/>
    <n v="3536"/>
    <n v="21804000"/>
    <n v="78.27"/>
    <n v="3590"/>
    <n v="982000"/>
    <n v="0.9726629920383052"/>
    <n v="2.7337007961694783E-2"/>
  </r>
  <r>
    <d v="2022-02-11T00:00:00"/>
    <x v="2"/>
    <x v="3"/>
    <n v="11"/>
    <n v="26421000"/>
    <n v="23438000"/>
    <n v="25627000"/>
    <n v="9598000"/>
    <n v="16029000"/>
    <n v="172827000"/>
    <n v="8992000"/>
    <n v="20.89"/>
    <n v="2323"/>
    <n v="9037000"/>
    <n v="21.69"/>
    <n v="2400"/>
    <n v="794000"/>
    <n v="0.96994814730706636"/>
    <n v="3.0051852692933652E-2"/>
  </r>
  <r>
    <d v="2022-02-04T00:00:00"/>
    <x v="2"/>
    <x v="3"/>
    <n v="4"/>
    <n v="16685000"/>
    <n v="12992000"/>
    <n v="15990000"/>
    <n v="5243000"/>
    <n v="10747000"/>
    <n v="120234000"/>
    <n v="4330000"/>
    <n v="9.5299999999999994"/>
    <n v="2201"/>
    <n v="4464000"/>
    <n v="10.29"/>
    <n v="2306"/>
    <n v="695000"/>
    <n v="0.95834581959844167"/>
    <n v="4.1654180401558286E-2"/>
  </r>
  <r>
    <d v="2021-12-03T00:00:00"/>
    <x v="3"/>
    <x v="4"/>
    <n v="3"/>
    <n v="169098000"/>
    <n v="168453000"/>
    <n v="152300000"/>
    <n v="84924000"/>
    <n v="67376000"/>
    <n v="1947346000"/>
    <n v="129841000"/>
    <n v="365.5"/>
    <n v="2815"/>
    <n v="113283000"/>
    <n v="326.18"/>
    <n v="2879"/>
    <n v="16798000"/>
    <n v="0.90066115506984112"/>
    <n v="9.9338844930158848E-2"/>
  </r>
  <r>
    <d v="2021-10-29T00:00:00"/>
    <x v="3"/>
    <x v="5"/>
    <n v="29"/>
    <n v="168026000"/>
    <n v="166898000"/>
    <n v="151824000"/>
    <n v="84525000"/>
    <n v="67299000"/>
    <n v="1885126000"/>
    <n v="128572000"/>
    <n v="358.88"/>
    <n v="2791"/>
    <n v="112591000"/>
    <n v="322.38"/>
    <n v="2863"/>
    <n v="16202000"/>
    <n v="0.90357444681180299"/>
    <n v="9.6425553188197066E-2"/>
  </r>
  <r>
    <d v="2021-10-22T00:00:00"/>
    <x v="3"/>
    <x v="5"/>
    <n v="22"/>
    <n v="167634000"/>
    <n v="166342000"/>
    <n v="151681000"/>
    <n v="84422000"/>
    <n v="67259000"/>
    <n v="1871475000"/>
    <n v="128064000"/>
    <n v="355.37"/>
    <n v="2775"/>
    <n v="112267000"/>
    <n v="320.11"/>
    <n v="2851"/>
    <n v="15953000"/>
    <n v="0.90483434148203823"/>
    <n v="9.5165658517961743E-2"/>
  </r>
  <r>
    <d v="2021-06-11T00:00:00"/>
    <x v="3"/>
    <x v="6"/>
    <n v="11"/>
    <n v="152465000"/>
    <n v="141032000"/>
    <n v="140860000"/>
    <n v="75876000"/>
    <n v="64984000"/>
    <n v="1452971000"/>
    <n v="104304000"/>
    <n v="289.48"/>
    <n v="2775"/>
    <n v="93882000"/>
    <n v="267.52999999999997"/>
    <n v="2850"/>
    <n v="11605000"/>
    <n v="0.92388417013740853"/>
    <n v="7.6115829862591411E-2"/>
  </r>
  <r>
    <d v="2021-06-04T00:00:00"/>
    <x v="3"/>
    <x v="6"/>
    <n v="4"/>
    <n v="150938000"/>
    <n v="138979000"/>
    <n v="140074000"/>
    <n v="75276000"/>
    <n v="64798000"/>
    <n v="1425885000"/>
    <n v="102380000"/>
    <n v="284.99"/>
    <n v="2784"/>
    <n v="92626000"/>
    <n v="264.58999999999997"/>
    <n v="2857"/>
    <n v="10864000"/>
    <n v="0.92802342683750949"/>
    <n v="7.1976573162490565E-2"/>
  </r>
  <r>
    <d v="2021-05-28T00:00:00"/>
    <x v="3"/>
    <x v="0"/>
    <n v="28"/>
    <n v="149650000"/>
    <n v="137609000"/>
    <n v="139417000"/>
    <n v="74800000"/>
    <n v="64617000"/>
    <n v="1401265000"/>
    <n v="101243000"/>
    <n v="281.39999999999998"/>
    <n v="2779"/>
    <n v="91749000"/>
    <n v="261.60000000000002"/>
    <n v="2851"/>
    <n v="10233000"/>
    <n v="0.93162044771132646"/>
    <n v="6.8379552288673567E-2"/>
  </r>
  <r>
    <d v="2021-05-21T00:00:00"/>
    <x v="3"/>
    <x v="0"/>
    <n v="21"/>
    <n v="148012000"/>
    <n v="135773000"/>
    <n v="138563000"/>
    <n v="74195000"/>
    <n v="64368000"/>
    <n v="1372697000"/>
    <n v="95632000"/>
    <n v="270.35000000000002"/>
    <n v="2827"/>
    <n v="87045000"/>
    <n v="252.37"/>
    <n v="2899"/>
    <n v="9449000"/>
    <n v="0.93616058157446691"/>
    <n v="6.3839418425533062E-2"/>
  </r>
  <r>
    <d v="2021-05-14T00:00:00"/>
    <x v="3"/>
    <x v="0"/>
    <n v="14"/>
    <n v="136309000"/>
    <n v="124599000"/>
    <n v="127658000"/>
    <n v="69718000"/>
    <n v="57940000"/>
    <n v="1333514000"/>
    <n v="88890000"/>
    <n v="253.83"/>
    <n v="2856"/>
    <n v="81249000"/>
    <n v="237.72"/>
    <n v="2926"/>
    <n v="8651000"/>
    <n v="0.93653390458443686"/>
    <n v="6.3466095415563167E-2"/>
  </r>
  <r>
    <d v="2021-05-07T00:00:00"/>
    <x v="3"/>
    <x v="0"/>
    <n v="7"/>
    <n v="126777000"/>
    <n v="115989000"/>
    <n v="118664000"/>
    <n v="64425000"/>
    <n v="54239000"/>
    <n v="1293942000"/>
    <n v="84840000"/>
    <n v="242.9"/>
    <n v="2863"/>
    <n v="77979000"/>
    <n v="228.13"/>
    <n v="2932"/>
    <n v="8113000"/>
    <n v="0.93600574236651757"/>
    <n v="6.3994257633482418E-2"/>
  </r>
  <r>
    <d v="2021-04-30T00:00:00"/>
    <x v="3"/>
    <x v="1"/>
    <n v="30"/>
    <n v="121168000"/>
    <n v="110257000"/>
    <n v="113617000"/>
    <n v="61282000"/>
    <n v="52335000"/>
    <n v="1256364000"/>
    <n v="81485000"/>
    <n v="233.49"/>
    <n v="2865"/>
    <n v="74965000"/>
    <n v="219.96"/>
    <n v="2934"/>
    <n v="7551000"/>
    <n v="0.93768156609005682"/>
    <n v="6.2318433909943217E-2"/>
  </r>
  <r>
    <d v="2021-04-23T00:00:00"/>
    <x v="3"/>
    <x v="1"/>
    <n v="23"/>
    <n v="116139000"/>
    <n v="105330000"/>
    <n v="109381000"/>
    <n v="58506000"/>
    <n v="50875000"/>
    <n v="1217624000"/>
    <n v="77652000"/>
    <n v="222.87"/>
    <n v="2870"/>
    <n v="71741000"/>
    <n v="210.67"/>
    <n v="2936"/>
    <n v="6758000"/>
    <n v="0.94181110565787551"/>
    <n v="5.8188894342124521E-2"/>
  </r>
  <r>
    <d v="2021-04-16T00:00:00"/>
    <x v="3"/>
    <x v="1"/>
    <n v="16"/>
    <n v="110961000"/>
    <n v="100027000"/>
    <n v="104786000"/>
    <n v="55450000"/>
    <n v="49336000"/>
    <n v="1178651000"/>
    <n v="73316000"/>
    <n v="210.67"/>
    <n v="2873"/>
    <n v="68000000"/>
    <n v="199.85"/>
    <n v="2939"/>
    <n v="6175000"/>
    <n v="0.94434981660222961"/>
    <n v="5.5650183397770385E-2"/>
  </r>
  <r>
    <d v="2021-04-09T00:00:00"/>
    <x v="3"/>
    <x v="1"/>
    <n v="9"/>
    <n v="100915000"/>
    <n v="91152000"/>
    <n v="95562000"/>
    <n v="49947000"/>
    <n v="45615000"/>
    <n v="1130085000"/>
    <n v="67727000"/>
    <n v="195.6"/>
    <n v="2888"/>
    <n v="63114000"/>
    <n v="186.28"/>
    <n v="2951"/>
    <n v="5353000"/>
    <n v="0.94695535846999945"/>
    <n v="5.3044641530000498E-2"/>
  </r>
  <r>
    <d v="2021-04-02T00:00:00"/>
    <x v="3"/>
    <x v="1"/>
    <n v="2"/>
    <n v="93202000"/>
    <n v="83712000"/>
    <n v="88285000"/>
    <n v="44992000"/>
    <n v="43293000"/>
    <n v="1070694000"/>
    <n v="62305000"/>
    <n v="180.25"/>
    <n v="2893"/>
    <n v="58325000"/>
    <n v="172.27"/>
    <n v="2954"/>
    <n v="4917000"/>
    <n v="0.94724362138151541"/>
    <n v="5.2756378618484583E-2"/>
  </r>
  <r>
    <d v="2021-03-26T00:00:00"/>
    <x v="3"/>
    <x v="2"/>
    <n v="26"/>
    <n v="85005000"/>
    <n v="75971000"/>
    <n v="80835000"/>
    <n v="39926000"/>
    <n v="40909000"/>
    <n v="991159000"/>
    <n v="56494000"/>
    <n v="163.92"/>
    <n v="2902"/>
    <n v="53152000"/>
    <n v="157.28"/>
    <n v="2959"/>
    <n v="4170000"/>
    <n v="0.95094406211399329"/>
    <n v="4.9055937886006706E-2"/>
  </r>
  <r>
    <d v="2021-03-19T00:00:00"/>
    <x v="3"/>
    <x v="2"/>
    <n v="19"/>
    <n v="76097000"/>
    <n v="67704000"/>
    <n v="72730000"/>
    <n v="34566000"/>
    <n v="38164000"/>
    <n v="879042000"/>
    <n v="49722000"/>
    <n v="145.63"/>
    <n v="2929"/>
    <n v="47093000"/>
    <n v="140.43"/>
    <n v="2982"/>
    <n v="3367000"/>
    <n v="0.9557538404930549"/>
    <n v="4.4246159506945083E-2"/>
  </r>
  <r>
    <d v="2021-03-12T00:00:00"/>
    <x v="3"/>
    <x v="2"/>
    <n v="12"/>
    <n v="66065000"/>
    <n v="58490000"/>
    <n v="63492000"/>
    <n v="29293000"/>
    <n v="34199000"/>
    <n v="659291000"/>
    <n v="42513000"/>
    <n v="126.12"/>
    <n v="2967"/>
    <n v="40492000"/>
    <n v="122.14"/>
    <n v="3016"/>
    <n v="2573000"/>
    <n v="0.96105350790887767"/>
    <n v="3.894649209112238E-2"/>
  </r>
  <r>
    <d v="2021-03-05T00:00:00"/>
    <x v="3"/>
    <x v="2"/>
    <n v="5"/>
    <n v="55716000"/>
    <n v="48967000"/>
    <n v="53922000"/>
    <n v="23926000"/>
    <n v="29996000"/>
    <n v="555744000"/>
    <n v="36049000"/>
    <n v="107.78"/>
    <n v="2990"/>
    <n v="34498000"/>
    <n v="104.72"/>
    <n v="3036"/>
    <n v="1794000"/>
    <n v="0.96780099073874648"/>
    <n v="3.2199009261253499E-2"/>
  </r>
  <r>
    <d v="2021-02-26T00:00:00"/>
    <x v="3"/>
    <x v="3"/>
    <n v="26"/>
    <n v="45271000"/>
    <n v="39402000"/>
    <n v="43936000"/>
    <n v="18344000"/>
    <n v="25592000"/>
    <n v="493500000"/>
    <n v="28301000"/>
    <n v="85.48"/>
    <n v="3021"/>
    <n v="27228000"/>
    <n v="83.41"/>
    <n v="3063"/>
    <n v="1335000"/>
    <n v="0.97051092310750808"/>
    <n v="2.9489076892491882E-2"/>
  </r>
  <r>
    <d v="2021-02-19T00:00:00"/>
    <x v="3"/>
    <x v="3"/>
    <n v="19"/>
    <n v="34693000"/>
    <n v="29832000"/>
    <n v="33615000"/>
    <n v="12813000"/>
    <n v="20802000"/>
    <n v="425806000"/>
    <n v="16576000"/>
    <n v="47.74"/>
    <n v="2880"/>
    <n v="16027000"/>
    <n v="46.79"/>
    <n v="2920"/>
    <n v="1078000"/>
    <n v="0.96892744934136565"/>
    <n v="3.1072550658634308E-2"/>
  </r>
  <r>
    <d v="2021-02-12T00:00:00"/>
    <x v="3"/>
    <x v="3"/>
    <n v="12"/>
    <n v="20645000"/>
    <n v="14695000"/>
    <n v="19689000"/>
    <n v="6859000"/>
    <n v="12830000"/>
    <n v="368647000"/>
    <n v="1136000"/>
    <n v="2.16"/>
    <n v="1900"/>
    <n v="1099000"/>
    <n v="2.11"/>
    <n v="1921"/>
    <n v="956000"/>
    <n v="0.9536933882295956"/>
    <n v="4.6306611770404453E-2"/>
  </r>
  <r>
    <d v="2020-12-11T00:00:00"/>
    <x v="4"/>
    <x v="4"/>
    <n v="11"/>
    <n v="169684000"/>
    <n v="163654000"/>
    <n v="152802000"/>
    <n v="80582000"/>
    <n v="72220000"/>
    <n v="1647043000"/>
    <n v="125851000"/>
    <n v="320.85000000000002"/>
    <n v="2549"/>
    <n v="102695000"/>
    <n v="269.26"/>
    <n v="2622"/>
    <n v="16882000"/>
    <n v="0.9005091817731784"/>
    <n v="9.9490818226821626E-2"/>
  </r>
  <r>
    <d v="2020-12-04T00:00:00"/>
    <x v="4"/>
    <x v="4"/>
    <n v="4"/>
    <n v="169153000"/>
    <n v="163217000"/>
    <n v="152802000"/>
    <n v="80582000"/>
    <n v="72220000"/>
    <n v="1637545000"/>
    <n v="125703000"/>
    <n v="320.02"/>
    <n v="2546"/>
    <n v="102623000"/>
    <n v="268.89"/>
    <n v="2620"/>
    <n v="16351000"/>
    <n v="0.90333603305882837"/>
    <n v="9.6663966941171603E-2"/>
  </r>
  <r>
    <d v="2020-11-20T00:00:00"/>
    <x v="4"/>
    <x v="7"/>
    <n v="20"/>
    <n v="168650000"/>
    <n v="162472000"/>
    <n v="152802000"/>
    <n v="80582000"/>
    <n v="72220000"/>
    <n v="1619588000"/>
    <n v="125299000"/>
    <n v="317.69"/>
    <n v="2535"/>
    <n v="102399000"/>
    <n v="267.86"/>
    <n v="2616"/>
    <n v="15848000"/>
    <n v="0.9060302401423066"/>
    <n v="9.3969759857693444E-2"/>
  </r>
  <r>
    <d v="2020-10-23T00:00:00"/>
    <x v="4"/>
    <x v="5"/>
    <n v="23"/>
    <n v="166255000"/>
    <n v="160171000"/>
    <n v="152066000"/>
    <n v="80186000"/>
    <n v="71880000"/>
    <n v="1573404000"/>
    <n v="124164000"/>
    <n v="309.75"/>
    <n v="2495"/>
    <n v="101773000"/>
    <n v="263.77999999999997"/>
    <n v="2592"/>
    <n v="14189000"/>
    <n v="0.9146551983398995"/>
    <n v="8.5344801660100444E-2"/>
  </r>
  <r>
    <d v="2020-10-16T00:00:00"/>
    <x v="4"/>
    <x v="5"/>
    <n v="16"/>
    <n v="165624000"/>
    <n v="159376000"/>
    <n v="151812000"/>
    <n v="80051000"/>
    <n v="71761000"/>
    <n v="1561914000"/>
    <n v="123416000"/>
    <n v="305.56"/>
    <n v="2476"/>
    <n v="101298000"/>
    <n v="261.02"/>
    <n v="2577"/>
    <n v="13812000"/>
    <n v="0.91660628894363139"/>
    <n v="8.3393711056368641E-2"/>
  </r>
  <r>
    <d v="2020-07-24T00:00:00"/>
    <x v="4"/>
    <x v="8"/>
    <n v="24"/>
    <n v="152875000"/>
    <n v="146556000"/>
    <n v="143906000"/>
    <n v="74125000"/>
    <n v="69781000"/>
    <n v="1397638000"/>
    <n v="102904000"/>
    <n v="282.02999999999997"/>
    <n v="2741"/>
    <n v="85333000"/>
    <n v="245.21"/>
    <n v="2874"/>
    <n v="8969000"/>
    <n v="0.94133115290269831"/>
    <n v="5.8668847097301718E-2"/>
  </r>
  <r>
    <d v="2020-07-17T00:00:00"/>
    <x v="4"/>
    <x v="8"/>
    <n v="17"/>
    <n v="151782000"/>
    <n v="145464000"/>
    <n v="143379000"/>
    <n v="73806000"/>
    <n v="69573000"/>
    <n v="1380722000"/>
    <n v="100483000"/>
    <n v="276.08999999999997"/>
    <n v="2748"/>
    <n v="83384000"/>
    <n v="240.46"/>
    <n v="2884"/>
    <n v="8403000"/>
    <n v="0.94463770407558212"/>
    <n v="5.5362295924417916E-2"/>
  </r>
  <r>
    <d v="2020-07-10T00:00:00"/>
    <x v="4"/>
    <x v="8"/>
    <n v="10"/>
    <n v="147142000"/>
    <n v="134603000"/>
    <n v="133174000"/>
    <n v="68921000"/>
    <n v="64253000"/>
    <n v="1353646000"/>
    <n v="96798000"/>
    <n v="267.32"/>
    <n v="2762"/>
    <n v="80394000"/>
    <n v="233.09"/>
    <n v="2899"/>
    <n v="13968000"/>
    <n v="0.90507129167742728"/>
    <n v="9.4928708322572747E-2"/>
  </r>
  <r>
    <d v="2020-07-03T00:00:00"/>
    <x v="4"/>
    <x v="8"/>
    <n v="3"/>
    <n v="142375000"/>
    <n v="130554000"/>
    <n v="129421000"/>
    <n v="66608000"/>
    <n v="62813000"/>
    <n v="1332820000"/>
    <n v="95210000"/>
    <n v="263.01"/>
    <n v="2762"/>
    <n v="79141000"/>
    <n v="229.59"/>
    <n v="2901"/>
    <n v="12954000"/>
    <n v="0.90901492537313433"/>
    <n v="9.098507462686567E-2"/>
  </r>
  <r>
    <d v="2020-06-26T00:00:00"/>
    <x v="4"/>
    <x v="6"/>
    <n v="26"/>
    <n v="139938000"/>
    <n v="128525000"/>
    <n v="127274000"/>
    <n v="65257000"/>
    <n v="62017000"/>
    <n v="1315097000"/>
    <n v="94117000"/>
    <n v="259.70999999999998"/>
    <n v="2759"/>
    <n v="78280000"/>
    <n v="226.97"/>
    <n v="2899"/>
    <n v="12664000"/>
    <n v="0.90950277980248395"/>
    <n v="9.0497220197516048E-2"/>
  </r>
  <r>
    <d v="2020-06-19T00:00:00"/>
    <x v="4"/>
    <x v="6"/>
    <n v="19"/>
    <n v="138272000"/>
    <n v="126587000"/>
    <n v="125637000"/>
    <n v="64154000"/>
    <n v="61483000"/>
    <n v="1295793000"/>
    <n v="93204000"/>
    <n v="257.55"/>
    <n v="2763"/>
    <n v="77561000"/>
    <n v="225.17"/>
    <n v="2903"/>
    <n v="12635000"/>
    <n v="0.90862213607961118"/>
    <n v="9.1377863920388797E-2"/>
  </r>
  <r>
    <d v="2020-06-12T00:00:00"/>
    <x v="4"/>
    <x v="6"/>
    <n v="12"/>
    <n v="136509000"/>
    <n v="124631000"/>
    <n v="123984000"/>
    <n v="63110000"/>
    <n v="60874000"/>
    <n v="1276240000"/>
    <n v="92162000"/>
    <n v="255"/>
    <n v="2767"/>
    <n v="76725000"/>
    <n v="223.01"/>
    <n v="2907"/>
    <n v="12525000"/>
    <n v="0.90824780783684589"/>
    <n v="9.1752192163154084E-2"/>
  </r>
  <r>
    <d v="2020-06-05T00:00:00"/>
    <x v="4"/>
    <x v="6"/>
    <n v="5"/>
    <n v="135229000"/>
    <n v="122870000"/>
    <n v="122426000"/>
    <n v="62119000"/>
    <n v="60307000"/>
    <n v="1254002000"/>
    <n v="91383000"/>
    <n v="253"/>
    <n v="2769"/>
    <n v="76092000"/>
    <n v="221.31"/>
    <n v="2908"/>
    <n v="12803000"/>
    <n v="0.90532356225365862"/>
    <n v="9.4676437746341394E-2"/>
  </r>
  <r>
    <d v="2020-05-29T00:00:00"/>
    <x v="4"/>
    <x v="0"/>
    <n v="29"/>
    <n v="133811000"/>
    <n v="121163000"/>
    <n v="120947000"/>
    <n v="61189000"/>
    <n v="59758000"/>
    <n v="1229022000"/>
    <n v="90570000"/>
    <n v="250.91"/>
    <n v="2770"/>
    <n v="75427000"/>
    <n v="219.54"/>
    <n v="2911"/>
    <n v="12864000"/>
    <n v="0.90386440576634208"/>
    <n v="9.6135594233657917E-2"/>
  </r>
  <r>
    <d v="2020-05-22T00:00:00"/>
    <x v="4"/>
    <x v="0"/>
    <n v="22"/>
    <n v="132351000"/>
    <n v="119722000"/>
    <n v="119544000"/>
    <n v="60372000"/>
    <n v="59172000"/>
    <n v="1198616000"/>
    <n v="89840000"/>
    <n v="249.04"/>
    <n v="2772"/>
    <n v="74808000"/>
    <n v="217.92"/>
    <n v="2913"/>
    <n v="12807000"/>
    <n v="0.90323458077385133"/>
    <n v="9.6765419226148647E-2"/>
  </r>
  <r>
    <d v="2020-05-15T00:00:00"/>
    <x v="4"/>
    <x v="0"/>
    <n v="15"/>
    <n v="130496000"/>
    <n v="117918000"/>
    <n v="117814000"/>
    <n v="59355000"/>
    <n v="58459000"/>
    <n v="1156732000"/>
    <n v="88227000"/>
    <n v="245.08"/>
    <n v="2778"/>
    <n v="73425000"/>
    <n v="214.44"/>
    <n v="2921"/>
    <n v="12682000"/>
    <n v="0.90281694458067685"/>
    <n v="9.7183055419323192E-2"/>
  </r>
  <r>
    <d v="2020-05-08T00:00:00"/>
    <x v="4"/>
    <x v="0"/>
    <n v="8"/>
    <n v="128204000"/>
    <n v="115765000"/>
    <n v="115696000"/>
    <n v="58228000"/>
    <n v="57468000"/>
    <n v="1095606000"/>
    <n v="87663000"/>
    <n v="243.66"/>
    <n v="2779"/>
    <n v="72956000"/>
    <n v="213.22"/>
    <n v="2923"/>
    <n v="12508000"/>
    <n v="0.90243674144332475"/>
    <n v="9.7563258556675303E-2"/>
  </r>
  <r>
    <d v="2020-05-01T00:00:00"/>
    <x v="4"/>
    <x v="0"/>
    <n v="1"/>
    <n v="125474000"/>
    <n v="113095000"/>
    <n v="113110000"/>
    <n v="56965000"/>
    <n v="56145000"/>
    <n v="1020304000"/>
    <n v="86471000"/>
    <n v="240.45"/>
    <n v="2781"/>
    <n v="71977000"/>
    <n v="210.52"/>
    <n v="2925"/>
    <n v="12364000"/>
    <n v="0.9014616573951576"/>
    <n v="9.8538342604842441E-2"/>
  </r>
  <r>
    <d v="2020-04-24T00:00:00"/>
    <x v="4"/>
    <x v="1"/>
    <n v="24"/>
    <n v="121892000"/>
    <n v="110074000"/>
    <n v="110089000"/>
    <n v="55528000"/>
    <n v="54561000"/>
    <n v="898329140"/>
    <n v="84771000"/>
    <n v="236.37"/>
    <n v="2788"/>
    <n v="70525000"/>
    <n v="206.99"/>
    <n v="2935"/>
    <n v="11803000"/>
    <n v="0.90316837856463095"/>
    <n v="9.6831621435369011E-2"/>
  </r>
  <r>
    <d v="2020-04-17T00:00:00"/>
    <x v="4"/>
    <x v="1"/>
    <n v="17"/>
    <n v="115961000"/>
    <n v="106637000"/>
    <n v="105991000"/>
    <n v="53651000"/>
    <n v="52340000"/>
    <n v="744739000"/>
    <n v="81349000"/>
    <n v="229.28"/>
    <n v="2818"/>
    <n v="68028000"/>
    <n v="201.61"/>
    <n v="2964"/>
    <n v="9970000"/>
    <n v="0.91402281801640206"/>
    <n v="8.5977181983597939E-2"/>
  </r>
  <r>
    <d v="2020-04-10T00:00:00"/>
    <x v="4"/>
    <x v="1"/>
    <n v="10"/>
    <n v="103986000"/>
    <n v="97828000"/>
    <n v="96798000"/>
    <n v="50511000"/>
    <n v="46287000"/>
    <n v="486977000"/>
    <n v="77252000"/>
    <n v="220.36"/>
    <n v="2852"/>
    <n v="64762000"/>
    <n v="194.23"/>
    <n v="2999"/>
    <n v="7188000"/>
    <n v="0.93087531013790314"/>
    <n v="6.9124689862096828E-2"/>
  </r>
  <r>
    <d v="2020-04-03T00:00:00"/>
    <x v="4"/>
    <x v="1"/>
    <n v="3"/>
    <n v="97366000"/>
    <n v="92509000"/>
    <n v="91448000"/>
    <n v="47672000"/>
    <n v="43776000"/>
    <n v="432444000"/>
    <n v="74055000"/>
    <n v="213.13"/>
    <n v="2878"/>
    <n v="62017000"/>
    <n v="187.9"/>
    <n v="3030"/>
    <n v="5918000"/>
    <n v="0.93921902922991596"/>
    <n v="6.0780970770084014E-2"/>
  </r>
  <r>
    <d v="2020-03-27T00:00:00"/>
    <x v="4"/>
    <x v="2"/>
    <n v="27"/>
    <n v="90617000"/>
    <n v="87001000"/>
    <n v="85559000"/>
    <n v="44501000"/>
    <n v="41058000"/>
    <n v="394715000"/>
    <n v="69931000"/>
    <n v="203.38"/>
    <n v="2908"/>
    <n v="59029000"/>
    <n v="180.49"/>
    <n v="3058"/>
    <n v="5058000"/>
    <n v="0.94418265888299102"/>
    <n v="5.5817341117008951E-2"/>
  </r>
  <r>
    <d v="2020-03-20T00:00:00"/>
    <x v="4"/>
    <x v="2"/>
    <n v="20"/>
    <n v="84222000"/>
    <n v="81158000"/>
    <n v="79688000"/>
    <n v="41003000"/>
    <n v="38685000"/>
    <n v="369251000"/>
    <n v="65097000"/>
    <n v="191.11"/>
    <n v="2936"/>
    <n v="55584000"/>
    <n v="171.16"/>
    <n v="3079"/>
    <n v="4534000"/>
    <n v="0.94616608487093634"/>
    <n v="5.3833915129063666E-2"/>
  </r>
  <r>
    <d v="2020-03-13T00:00:00"/>
    <x v="4"/>
    <x v="2"/>
    <n v="13"/>
    <n v="76191000"/>
    <n v="73497000"/>
    <n v="72309000"/>
    <n v="36336000"/>
    <n v="35973000"/>
    <n v="345662000"/>
    <n v="59235000"/>
    <n v="176.09"/>
    <n v="2973"/>
    <n v="51456000"/>
    <n v="159.79"/>
    <n v="3105"/>
    <n v="3882000"/>
    <n v="0.9490491002874355"/>
    <n v="5.0950899712564474E-2"/>
  </r>
  <r>
    <d v="2020-03-06T00:00:00"/>
    <x v="4"/>
    <x v="2"/>
    <n v="6"/>
    <n v="67998000"/>
    <n v="65018000"/>
    <n v="64806000"/>
    <n v="31430000"/>
    <n v="33376000"/>
    <n v="321393000"/>
    <n v="52721000"/>
    <n v="158.81"/>
    <n v="3012"/>
    <n v="46870000"/>
    <n v="146.65"/>
    <n v="3129"/>
    <n v="3192000"/>
    <n v="0.95305744286596661"/>
    <n v="4.6942557134033357E-2"/>
  </r>
  <r>
    <d v="2020-02-28T00:00:00"/>
    <x v="4"/>
    <x v="3"/>
    <n v="28"/>
    <n v="59305000"/>
    <n v="57085000"/>
    <n v="56736000"/>
    <n v="26410000"/>
    <n v="30326000"/>
    <n v="291906000"/>
    <n v="45552000"/>
    <n v="139.59"/>
    <n v="3064"/>
    <n v="42636000"/>
    <n v="134.19999999999999"/>
    <n v="3148"/>
    <n v="2569000"/>
    <n v="0.95668156141977911"/>
    <n v="4.3318438580220893E-2"/>
  </r>
  <r>
    <d v="2020-02-21T00:00:00"/>
    <x v="4"/>
    <x v="3"/>
    <n v="21"/>
    <n v="49888000"/>
    <n v="48052000"/>
    <n v="48012000"/>
    <n v="21261000"/>
    <n v="26751000"/>
    <n v="242330000"/>
    <n v="37454000"/>
    <n v="117.06"/>
    <n v="3125"/>
    <n v="35422000"/>
    <n v="113.37"/>
    <n v="3200"/>
    <n v="1876000"/>
    <n v="0.9623957665169981"/>
    <n v="3.7604233483001924E-2"/>
  </r>
  <r>
    <d v="2020-02-14T00:00:00"/>
    <x v="4"/>
    <x v="3"/>
    <n v="14"/>
    <n v="39622000"/>
    <n v="38319000"/>
    <n v="38368000"/>
    <n v="16024000"/>
    <n v="22344000"/>
    <n v="165294000"/>
    <n v="18166000"/>
    <n v="36.57"/>
    <n v="2013"/>
    <n v="17094000"/>
    <n v="35.270000000000003"/>
    <n v="2064"/>
    <n v="1254000"/>
    <n v="0.9683509161576902"/>
    <n v="3.1649083842309828E-2"/>
  </r>
  <r>
    <d v="2020-02-07T00:00:00"/>
    <x v="4"/>
    <x v="3"/>
    <n v="7"/>
    <n v="28662000"/>
    <n v="27542000"/>
    <n v="27774000"/>
    <n v="10592000"/>
    <n v="17182000"/>
    <n v="110871000"/>
    <n v="10837000"/>
    <n v="21.16"/>
    <n v="1952"/>
    <n v="10315000"/>
    <n v="20.58"/>
    <n v="1995"/>
    <n v="888000"/>
    <n v="0.96901821226711327"/>
    <n v="3.0981787732886748E-2"/>
  </r>
  <r>
    <d v="2020-01-31T00:00:00"/>
    <x v="4"/>
    <x v="9"/>
    <n v="31"/>
    <n v="15777000"/>
    <n v="12943000"/>
    <n v="15123000"/>
    <n v="5236000"/>
    <n v="9887000"/>
    <n v="68097000"/>
    <n v="4299000"/>
    <n v="8.0399999999999991"/>
    <n v="1869"/>
    <n v="4100000"/>
    <n v="7.85"/>
    <n v="1915"/>
    <n v="654000"/>
    <n v="0.95854725232934013"/>
    <n v="4.1452747670659824E-2"/>
  </r>
  <r>
    <d v="2019-12-27T00:00:00"/>
    <x v="5"/>
    <x v="4"/>
    <n v="27"/>
    <n v="155798000"/>
    <n v="155611000"/>
    <n v="138217000"/>
    <n v="80630000"/>
    <n v="57587000"/>
    <n v="652418000"/>
    <n v="112811000"/>
    <n v="322.81"/>
    <n v="2869"/>
    <n v="92059000"/>
    <n v="274.25"/>
    <n v="2979"/>
    <n v="17581000"/>
    <n v="0.88715516245394677"/>
    <n v="0.11284483754605322"/>
  </r>
  <r>
    <d v="2019-12-13T00:00:00"/>
    <x v="5"/>
    <x v="4"/>
    <n v="13"/>
    <n v="155660000"/>
    <n v="155429000"/>
    <n v="138217000"/>
    <n v="80630000"/>
    <n v="57587000"/>
    <n v="640367000"/>
    <n v="112254000"/>
    <n v="322.18"/>
    <n v="2870"/>
    <n v="92021000"/>
    <n v="274.02"/>
    <n v="2978"/>
    <n v="17443000"/>
    <n v="0.88794166773737637"/>
    <n v="0.11205833226262367"/>
  </r>
  <r>
    <d v="2019-11-22T00:00:00"/>
    <x v="5"/>
    <x v="7"/>
    <n v="22"/>
    <n v="155402000"/>
    <n v="155096000"/>
    <n v="138217000"/>
    <n v="80630000"/>
    <n v="57587000"/>
    <n v="625522000"/>
    <n v="111596000"/>
    <n v="319.22000000000003"/>
    <n v="2860"/>
    <n v="91955000"/>
    <n v="273.52999999999997"/>
    <n v="2975"/>
    <n v="17185000"/>
    <n v="0.88941583763400733"/>
    <n v="0.11058416236599272"/>
  </r>
  <r>
    <d v="2019-10-18T00:00:00"/>
    <x v="5"/>
    <x v="5"/>
    <n v="18"/>
    <n v="154297000"/>
    <n v="153721000"/>
    <n v="137866000"/>
    <n v="80294000"/>
    <n v="57572000"/>
    <n v="596722000"/>
    <n v="110582000"/>
    <n v="307.56"/>
    <n v="2781"/>
    <n v="91544000"/>
    <n v="268.66000000000003"/>
    <n v="2935"/>
    <n v="16431000"/>
    <n v="0.89351056728257838"/>
    <n v="0.10648943271742159"/>
  </r>
  <r>
    <d v="2019-07-26T00:00:00"/>
    <x v="5"/>
    <x v="8"/>
    <n v="26"/>
    <n v="146342000"/>
    <n v="145750000"/>
    <n v="131169000"/>
    <n v="74455000"/>
    <n v="56714000"/>
    <n v="528394000"/>
    <n v="106240000"/>
    <n v="291.18"/>
    <n v="2741"/>
    <n v="89657000"/>
    <n v="258.95999999999998"/>
    <n v="2888"/>
    <n v="15173000"/>
    <n v="0.89631821349988383"/>
    <n v="0.10368178650011617"/>
  </r>
  <r>
    <d v="2019-07-19T00:00:00"/>
    <x v="5"/>
    <x v="8"/>
    <n v="19"/>
    <n v="145941000"/>
    <n v="145191000"/>
    <n v="130882000"/>
    <n v="74206000"/>
    <n v="56676000"/>
    <n v="522468000"/>
    <n v="105933000"/>
    <n v="290.25"/>
    <n v="2740"/>
    <n v="89507000"/>
    <n v="258.37"/>
    <n v="2887"/>
    <n v="15059000"/>
    <n v="0.89681446611987037"/>
    <n v="0.10318553388012965"/>
  </r>
  <r>
    <d v="2019-07-12T00:00:00"/>
    <x v="5"/>
    <x v="8"/>
    <n v="12"/>
    <n v="145678000"/>
    <n v="144789000"/>
    <n v="130725000"/>
    <n v="74073000"/>
    <n v="56652000"/>
    <n v="516311000"/>
    <n v="105635000"/>
    <n v="289.31"/>
    <n v="2739"/>
    <n v="89346000"/>
    <n v="257.77"/>
    <n v="2885"/>
    <n v="14953000"/>
    <n v="0.89735581213360971"/>
    <n v="0.10264418786639026"/>
  </r>
  <r>
    <d v="2019-07-05T00:00:00"/>
    <x v="5"/>
    <x v="8"/>
    <n v="5"/>
    <n v="145303000"/>
    <n v="144306000"/>
    <n v="130488000"/>
    <n v="73870000"/>
    <n v="56618000"/>
    <n v="510093000"/>
    <n v="105268000"/>
    <n v="288.07"/>
    <n v="2737"/>
    <n v="89152000"/>
    <n v="257"/>
    <n v="2883"/>
    <n v="14815000"/>
    <n v="0.89804064609815348"/>
    <n v="0.10195935390184649"/>
  </r>
  <r>
    <d v="2019-06-28T00:00:00"/>
    <x v="5"/>
    <x v="6"/>
    <n v="28"/>
    <n v="144990000"/>
    <n v="143765000"/>
    <n v="130292000"/>
    <n v="73706000"/>
    <n v="56586000"/>
    <n v="504950000"/>
    <n v="104959000"/>
    <n v="287.2"/>
    <n v="2736"/>
    <n v="89124000"/>
    <n v="256.89999999999998"/>
    <n v="2883"/>
    <n v="14698000"/>
    <n v="0.89862749155114141"/>
    <n v="0.10137250844885855"/>
  </r>
  <r>
    <d v="2019-06-21T00:00:00"/>
    <x v="5"/>
    <x v="6"/>
    <n v="21"/>
    <n v="144563000"/>
    <n v="142877000"/>
    <n v="130020000"/>
    <n v="73471000"/>
    <n v="56549000"/>
    <n v="498273000"/>
    <n v="104541000"/>
    <n v="285.94"/>
    <n v="2735"/>
    <n v="88909000"/>
    <n v="256.11"/>
    <n v="2881"/>
    <n v="14543000"/>
    <n v="0.89940026147769481"/>
    <n v="0.10059973852230515"/>
  </r>
  <r>
    <d v="2019-06-14T00:00:00"/>
    <x v="5"/>
    <x v="6"/>
    <n v="14"/>
    <n v="144125000"/>
    <n v="141870000"/>
    <n v="129721000"/>
    <n v="73217000"/>
    <n v="56504000"/>
    <n v="491279000"/>
    <n v="104452000"/>
    <n v="285.58"/>
    <n v="2734"/>
    <n v="88629000"/>
    <n v="255"/>
    <n v="2877"/>
    <n v="14404000"/>
    <n v="0.90005897658282741"/>
    <n v="9.9941023417172592E-2"/>
  </r>
  <r>
    <d v="2019-06-07T00:00:00"/>
    <x v="5"/>
    <x v="6"/>
    <n v="7"/>
    <n v="143650000"/>
    <n v="140825000"/>
    <n v="129387000"/>
    <n v="72931000"/>
    <n v="56456000"/>
    <n v="483914000"/>
    <n v="104047000"/>
    <n v="284.35000000000002"/>
    <n v="2733"/>
    <n v="88426000"/>
    <n v="254.24"/>
    <n v="2875"/>
    <n v="14263000"/>
    <n v="0.90071005917159763"/>
    <n v="9.9289940828402368E-2"/>
  </r>
  <r>
    <d v="2019-05-31T00:00:00"/>
    <x v="5"/>
    <x v="0"/>
    <n v="31"/>
    <n v="143166000"/>
    <n v="139732000"/>
    <n v="129052000"/>
    <n v="72647000"/>
    <n v="56405000"/>
    <n v="476681000"/>
    <n v="103576000"/>
    <n v="282.82"/>
    <n v="2730"/>
    <n v="88141000"/>
    <n v="253.15"/>
    <n v="2872"/>
    <n v="14114000"/>
    <n v="0.90141514046631188"/>
    <n v="9.858485953368816E-2"/>
  </r>
  <r>
    <d v="2019-05-24T00:00:00"/>
    <x v="5"/>
    <x v="0"/>
    <n v="24"/>
    <n v="142737000"/>
    <n v="138803000"/>
    <n v="128741000"/>
    <n v="72389000"/>
    <n v="56352000"/>
    <n v="469696000"/>
    <n v="103112000"/>
    <n v="281.41000000000003"/>
    <n v="2729"/>
    <n v="87859000"/>
    <n v="252.18"/>
    <n v="2870"/>
    <n v="13996000"/>
    <n v="0.90194553619594076"/>
    <n v="9.8054463804059216E-2"/>
  </r>
  <r>
    <d v="2019-05-17T00:00:00"/>
    <x v="5"/>
    <x v="0"/>
    <n v="17"/>
    <n v="142200000"/>
    <n v="137633000"/>
    <n v="128373000"/>
    <n v="72084000"/>
    <n v="56289000"/>
    <n v="461982000"/>
    <n v="102504000"/>
    <n v="279.64999999999998"/>
    <n v="2728"/>
    <n v="87496000"/>
    <n v="251"/>
    <n v="2869"/>
    <n v="13827000"/>
    <n v="0.90276371308016878"/>
    <n v="9.723628691983123E-2"/>
  </r>
  <r>
    <d v="2019-05-10T00:00:00"/>
    <x v="5"/>
    <x v="0"/>
    <n v="10"/>
    <n v="141567000"/>
    <n v="136139000"/>
    <n v="127939000"/>
    <n v="71725000"/>
    <n v="56214000"/>
    <n v="453360000"/>
    <n v="101590000"/>
    <n v="277.26"/>
    <n v="2729"/>
    <n v="86965000"/>
    <n v="249.43"/>
    <n v="2868"/>
    <n v="13628000"/>
    <n v="0.90373462742023214"/>
    <n v="9.6265372579767888E-2"/>
  </r>
  <r>
    <d v="2019-05-03T00:00:00"/>
    <x v="5"/>
    <x v="0"/>
    <n v="3"/>
    <n v="141001000"/>
    <n v="134744000"/>
    <n v="127513000"/>
    <n v="71392000"/>
    <n v="56121000"/>
    <n v="444213000"/>
    <n v="100430000"/>
    <n v="274.33"/>
    <n v="2732"/>
    <n v="86320000"/>
    <n v="247.62"/>
    <n v="2869"/>
    <n v="13488000"/>
    <n v="0.90434110396380163"/>
    <n v="9.5658896036198329E-2"/>
  </r>
  <r>
    <d v="2019-04-26T00:00:00"/>
    <x v="5"/>
    <x v="1"/>
    <n v="26"/>
    <n v="139364000"/>
    <n v="132763000"/>
    <n v="126961000"/>
    <n v="70969000"/>
    <n v="55992000"/>
    <n v="433675000"/>
    <n v="98952000"/>
    <n v="270"/>
    <n v="2729"/>
    <n v="85456000"/>
    <n v="244.81"/>
    <n v="2865"/>
    <n v="12403000"/>
    <n v="0.91100284147986565"/>
    <n v="8.8997158520134331E-2"/>
  </r>
  <r>
    <d v="2019-04-19T00:00:00"/>
    <x v="5"/>
    <x v="1"/>
    <n v="19"/>
    <n v="137233000"/>
    <n v="130775000"/>
    <n v="126264000"/>
    <n v="70476000"/>
    <n v="55788000"/>
    <n v="421514000"/>
    <n v="95737000"/>
    <n v="260.92"/>
    <n v="2725"/>
    <n v="83249000"/>
    <n v="238.38"/>
    <n v="2863"/>
    <n v="10969000"/>
    <n v="0.92007024549488825"/>
    <n v="7.992975450511175E-2"/>
  </r>
  <r>
    <d v="2019-04-12T00:00:00"/>
    <x v="5"/>
    <x v="1"/>
    <n v="12"/>
    <n v="119427000"/>
    <n v="115742000"/>
    <n v="111368000"/>
    <n v="63248000"/>
    <n v="48120000"/>
    <n v="399465000"/>
    <n v="84435000"/>
    <n v="235.98"/>
    <n v="2795"/>
    <n v="74617000"/>
    <n v="218.22"/>
    <n v="2924"/>
    <n v="8059000"/>
    <n v="0.93251944702621681"/>
    <n v="6.7480552973783151E-2"/>
  </r>
  <r>
    <d v="2019-04-05T00:00:00"/>
    <x v="5"/>
    <x v="1"/>
    <n v="5"/>
    <n v="103460000"/>
    <n v="100572000"/>
    <n v="96844000"/>
    <n v="53839000"/>
    <n v="43005000"/>
    <n v="376700000"/>
    <n v="77925000"/>
    <n v="220.76"/>
    <n v="2833"/>
    <n v="69094000"/>
    <n v="204.59"/>
    <n v="2961"/>
    <n v="6616000"/>
    <n v="0.93605258070751984"/>
    <n v="6.3947419292480184E-2"/>
  </r>
  <r>
    <d v="2019-03-29T00:00:00"/>
    <x v="5"/>
    <x v="2"/>
    <n v="29"/>
    <n v="92861000"/>
    <n v="90280000"/>
    <n v="87288000"/>
    <n v="47430000"/>
    <n v="39858000"/>
    <n v="358112000"/>
    <n v="71755000"/>
    <n v="206.15"/>
    <n v="2873"/>
    <n v="64252000"/>
    <n v="192.43"/>
    <n v="2995"/>
    <n v="5573000"/>
    <n v="0.93998556983017634"/>
    <n v="6.0014430169823718E-2"/>
  </r>
  <r>
    <d v="2019-03-22T00:00:00"/>
    <x v="5"/>
    <x v="2"/>
    <n v="22"/>
    <n v="84075000"/>
    <n v="81562000"/>
    <n v="79236000"/>
    <n v="41911000"/>
    <n v="37325000"/>
    <n v="339939000"/>
    <n v="65836000"/>
    <n v="191.89"/>
    <n v="2915"/>
    <n v="59521000"/>
    <n v="180.35"/>
    <n v="3030"/>
    <n v="4839000"/>
    <n v="0.94244424620874223"/>
    <n v="5.7555753791257803E-2"/>
  </r>
  <r>
    <d v="2019-03-15T00:00:00"/>
    <x v="5"/>
    <x v="2"/>
    <n v="15"/>
    <n v="75881000"/>
    <n v="73528000"/>
    <n v="71815000"/>
    <n v="36868000"/>
    <n v="34947000"/>
    <n v="320712000"/>
    <n v="59916000"/>
    <n v="177.19"/>
    <n v="2957"/>
    <n v="54683000"/>
    <n v="167.63"/>
    <n v="3065"/>
    <n v="4066000"/>
    <n v="0.94641609889168565"/>
    <n v="5.3583901108314333E-2"/>
  </r>
  <r>
    <d v="2019-03-08T00:00:00"/>
    <x v="5"/>
    <x v="2"/>
    <n v="8"/>
    <n v="67721000"/>
    <n v="65314000"/>
    <n v="64299000"/>
    <n v="31942000"/>
    <n v="32357000"/>
    <n v="298601000"/>
    <n v="53487000"/>
    <n v="160.87"/>
    <n v="3008"/>
    <n v="49320000"/>
    <n v="153.26"/>
    <n v="3107"/>
    <n v="3422000"/>
    <n v="0.94946914546447925"/>
    <n v="5.0530854535520739E-2"/>
  </r>
  <r>
    <d v="2019-03-01T00:00:00"/>
    <x v="5"/>
    <x v="2"/>
    <n v="1"/>
    <n v="59223000"/>
    <n v="56875000"/>
    <n v="56494000"/>
    <n v="27017000"/>
    <n v="29477000"/>
    <n v="272602000"/>
    <n v="46416000"/>
    <n v="142.4"/>
    <n v="3068"/>
    <n v="43241000"/>
    <n v="136.6"/>
    <n v="3159"/>
    <n v="2729000"/>
    <n v="0.95391992975702011"/>
    <n v="4.6080070242979922E-2"/>
  </r>
  <r>
    <d v="2019-02-22T00:00:00"/>
    <x v="5"/>
    <x v="3"/>
    <n v="22"/>
    <n v="49923000"/>
    <n v="47700000"/>
    <n v="47866000"/>
    <n v="21869000"/>
    <n v="25997000"/>
    <n v="232545000"/>
    <n v="38566000"/>
    <n v="121.2"/>
    <n v="3143"/>
    <n v="36329000"/>
    <n v="117.19"/>
    <n v="3226"/>
    <n v="2057000"/>
    <n v="0.95879654668189007"/>
    <n v="4.1203453318109887E-2"/>
  </r>
  <r>
    <d v="2019-02-15T00:00:00"/>
    <x v="5"/>
    <x v="3"/>
    <n v="15"/>
    <n v="39747000"/>
    <n v="37810000"/>
    <n v="38357000"/>
    <n v="16583000"/>
    <n v="21774000"/>
    <n v="161706000"/>
    <n v="23485000"/>
    <n v="61.99"/>
    <n v="2640"/>
    <n v="22141000"/>
    <n v="59.85"/>
    <n v="2703"/>
    <n v="1390000"/>
    <n v="0.96502880720557527"/>
    <n v="3.4971192794424739E-2"/>
  </r>
  <r>
    <d v="2019-02-08T00:00:00"/>
    <x v="5"/>
    <x v="3"/>
    <n v="8"/>
    <n v="28764000"/>
    <n v="26965000"/>
    <n v="27602000"/>
    <n v="11001000"/>
    <n v="16601000"/>
    <n v="106390000"/>
    <n v="11381000"/>
    <n v="22.18"/>
    <n v="1949"/>
    <n v="10790000"/>
    <n v="21.53"/>
    <n v="1996"/>
    <n v="1162000"/>
    <n v="0.95960228062856345"/>
    <n v="4.0397719371436519E-2"/>
  </r>
  <r>
    <d v="2019-02-01T00:00:00"/>
    <x v="5"/>
    <x v="3"/>
    <n v="1"/>
    <n v="16035000"/>
    <n v="13306000"/>
    <n v="15222000"/>
    <n v="5440000"/>
    <n v="9782000"/>
    <n v="66310000"/>
    <n v="4672000"/>
    <n v="8.7100000000000009"/>
    <n v="1865"/>
    <n v="4476000"/>
    <n v="8.51"/>
    <n v="1901"/>
    <n v="813000"/>
    <n v="0.94929840972871837"/>
    <n v="5.0701590271281571E-2"/>
  </r>
  <r>
    <d v="2018-12-28T00:00:00"/>
    <x v="6"/>
    <x v="4"/>
    <n v="28"/>
    <n v="154865000"/>
    <n v="154539000"/>
    <n v="135459000"/>
    <n v="80286000"/>
    <n v="55173000"/>
    <n v="611580000"/>
    <n v="112154000"/>
    <n v="326.33"/>
    <n v="2910"/>
    <n v="90164000"/>
    <n v="273.7"/>
    <n v="3036"/>
    <n v="19406000"/>
    <n v="0.87469085978109962"/>
    <n v="0.12530914021890033"/>
  </r>
  <r>
    <d v="2018-11-23T00:00:00"/>
    <x v="6"/>
    <x v="7"/>
    <n v="23"/>
    <n v="154444000"/>
    <n v="154058000"/>
    <n v="135459000"/>
    <n v="80286000"/>
    <n v="55173000"/>
    <n v="585027000"/>
    <n v="111911000"/>
    <n v="324.43"/>
    <n v="2899"/>
    <n v="90067000"/>
    <n v="272.98"/>
    <n v="3031"/>
    <n v="18985000"/>
    <n v="0.87707518582787292"/>
    <n v="0.12292481417212711"/>
  </r>
  <r>
    <d v="2018-10-19T00:00:00"/>
    <x v="6"/>
    <x v="5"/>
    <n v="19"/>
    <n v="153383000"/>
    <n v="152827000"/>
    <n v="135154000"/>
    <n v="79990000"/>
    <n v="55164000"/>
    <n v="559158000"/>
    <n v="110806000"/>
    <n v="312.97000000000003"/>
    <n v="2825"/>
    <n v="89537000"/>
    <n v="267.8"/>
    <n v="2991"/>
    <n v="18229000"/>
    <n v="0.88115371325375047"/>
    <n v="0.11884628674624959"/>
  </r>
  <r>
    <d v="2018-08-31T00:00:00"/>
    <x v="6"/>
    <x v="10"/>
    <n v="31"/>
    <n v="147358000"/>
    <n v="147058000"/>
    <n v="129931000"/>
    <n v="75423000"/>
    <n v="54508000"/>
    <n v="520207937"/>
    <n v="108757000"/>
    <n v="303.76"/>
    <n v="2793"/>
    <n v="88494000"/>
    <n v="262.38"/>
    <n v="2965"/>
    <n v="17427000"/>
    <n v="0.88173699425887975"/>
    <n v="0.11826300574112027"/>
  </r>
  <r>
    <d v="2018-05-11T00:00:00"/>
    <x v="6"/>
    <x v="0"/>
    <n v="11"/>
    <n v="141531000"/>
    <n v="135883000"/>
    <n v="126040000"/>
    <n v="72111000"/>
    <n v="53929000"/>
    <n v="419004000"/>
    <n v="102582000"/>
    <n v="284.93"/>
    <n v="2778"/>
    <n v="85297000"/>
    <n v="250.73"/>
    <n v="2940"/>
    <n v="15491000"/>
    <n v="0.89054694731189632"/>
    <n v="0.10945305268810367"/>
  </r>
  <r>
    <d v="2018-05-04T00:00:00"/>
    <x v="6"/>
    <x v="0"/>
    <n v="4"/>
    <n v="140895000"/>
    <n v="134268000"/>
    <n v="125637000"/>
    <n v="71788000"/>
    <n v="53849000"/>
    <n v="410052000"/>
    <n v="101372000"/>
    <n v="281.51"/>
    <n v="2777"/>
    <n v="84632000"/>
    <n v="248.63"/>
    <n v="2938"/>
    <n v="15258000"/>
    <n v="0.89170659001384012"/>
    <n v="0.10829340998615991"/>
  </r>
  <r>
    <d v="2018-04-27T00:00:00"/>
    <x v="6"/>
    <x v="1"/>
    <n v="27"/>
    <n v="139903000"/>
    <n v="132550000"/>
    <n v="125161000"/>
    <n v="71425000"/>
    <n v="53736000"/>
    <n v="399502000"/>
    <n v="99511000"/>
    <n v="275.73"/>
    <n v="2771"/>
    <n v="83458000"/>
    <n v="244.69"/>
    <n v="2932"/>
    <n v="14742000"/>
    <n v="0.89462699155843695"/>
    <n v="0.10537300844156308"/>
  </r>
  <r>
    <d v="2018-04-20T00:00:00"/>
    <x v="6"/>
    <x v="1"/>
    <n v="20"/>
    <n v="136919000"/>
    <n v="130477000"/>
    <n v="124515000"/>
    <n v="70983000"/>
    <n v="53532000"/>
    <n v="386895000"/>
    <n v="95434000"/>
    <n v="265.33"/>
    <n v="2780"/>
    <n v="80491000"/>
    <n v="236.85"/>
    <n v="2943"/>
    <n v="12404000"/>
    <n v="0.9094062913109211"/>
    <n v="9.0593708689078942E-2"/>
  </r>
  <r>
    <d v="2018-04-13T00:00:00"/>
    <x v="6"/>
    <x v="1"/>
    <n v="13"/>
    <n v="118580000"/>
    <n v="114817000"/>
    <n v="109006000"/>
    <n v="62975000"/>
    <n v="46031000"/>
    <n v="363095000"/>
    <n v="86039000"/>
    <n v="243.59"/>
    <n v="2831"/>
    <n v="73484000"/>
    <n v="219.41"/>
    <n v="2986"/>
    <n v="9574000"/>
    <n v="0.91926125822229721"/>
    <n v="8.0738741777702822E-2"/>
  </r>
  <r>
    <d v="2018-04-06T00:00:00"/>
    <x v="6"/>
    <x v="1"/>
    <n v="6"/>
    <n v="103762000"/>
    <n v="101082000"/>
    <n v="95899000"/>
    <n v="54283000"/>
    <n v="41616000"/>
    <n v="342057000"/>
    <n v="79100000"/>
    <n v="226.56"/>
    <n v="2864"/>
    <n v="68220000"/>
    <n v="205.56"/>
    <n v="3013"/>
    <n v="7863000"/>
    <n v="0.92422081301439829"/>
    <n v="7.5779186985601668E-2"/>
  </r>
  <r>
    <d v="2018-03-30T00:00:00"/>
    <x v="6"/>
    <x v="2"/>
    <n v="30"/>
    <n v="94139000"/>
    <n v="91593000"/>
    <n v="87328000"/>
    <n v="48374000"/>
    <n v="38954000"/>
    <n v="324355000"/>
    <n v="73396000"/>
    <n v="212.32"/>
    <n v="2893"/>
    <n v="63847000"/>
    <n v="193.85"/>
    <n v="3036"/>
    <n v="6811000"/>
    <n v="0.92764953951072349"/>
    <n v="7.23504604892765E-2"/>
  </r>
  <r>
    <d v="2018-03-23T00:00:00"/>
    <x v="6"/>
    <x v="2"/>
    <n v="23"/>
    <n v="85689000"/>
    <n v="83286000"/>
    <n v="79780000"/>
    <n v="43094000"/>
    <n v="36686000"/>
    <n v="307121000"/>
    <n v="67599000"/>
    <n v="197.7"/>
    <n v="2925"/>
    <n v="59313000"/>
    <n v="181.6"/>
    <n v="3062"/>
    <n v="5909000"/>
    <n v="0.93104132385720451"/>
    <n v="6.8958676142795453E-2"/>
  </r>
  <r>
    <d v="2018-03-16T00:00:00"/>
    <x v="6"/>
    <x v="2"/>
    <n v="16"/>
    <n v="77795000"/>
    <n v="75307000"/>
    <n v="72732000"/>
    <n v="38245000"/>
    <n v="34487000"/>
    <n v="288340000"/>
    <n v="61739000"/>
    <n v="182.77"/>
    <n v="2960"/>
    <n v="54602000"/>
    <n v="168.8"/>
    <n v="3091"/>
    <n v="5063000"/>
    <n v="0.93491869657433002"/>
    <n v="6.5081303425670034E-2"/>
  </r>
  <r>
    <d v="2018-03-09T00:00:00"/>
    <x v="6"/>
    <x v="2"/>
    <n v="9"/>
    <n v="69484000"/>
    <n v="67183000"/>
    <n v="65270000"/>
    <n v="33495000"/>
    <n v="31775000"/>
    <n v="267117000"/>
    <n v="55327000"/>
    <n v="166.19"/>
    <n v="3004"/>
    <n v="49357000"/>
    <n v="154.35"/>
    <n v="3127"/>
    <n v="4214000"/>
    <n v="0.93935294456277707"/>
    <n v="6.0647055437222958E-2"/>
  </r>
  <r>
    <d v="2018-03-02T00:00:00"/>
    <x v="6"/>
    <x v="2"/>
    <n v="2"/>
    <n v="61150000"/>
    <n v="59048000"/>
    <n v="57794000"/>
    <n v="28688000"/>
    <n v="29106000"/>
    <n v="242891000"/>
    <n v="48452000"/>
    <n v="147.58000000000001"/>
    <n v="3046"/>
    <n v="43549000"/>
    <n v="137.72"/>
    <n v="3162"/>
    <n v="3356000"/>
    <n v="0.94511856091578084"/>
    <n v="5.4881439084219136E-2"/>
  </r>
  <r>
    <d v="2018-02-23T00:00:00"/>
    <x v="6"/>
    <x v="3"/>
    <n v="23"/>
    <n v="51740000"/>
    <n v="49992000"/>
    <n v="49192000"/>
    <n v="23438000"/>
    <n v="25754000"/>
    <n v="213117000"/>
    <n v="40504000"/>
    <n v="125.67"/>
    <n v="3103"/>
    <n v="37731000"/>
    <n v="120.69"/>
    <n v="3199"/>
    <n v="2548000"/>
    <n v="0.95075376884422114"/>
    <n v="4.9246231155778891E-2"/>
  </r>
  <r>
    <d v="2018-02-16T00:00:00"/>
    <x v="6"/>
    <x v="3"/>
    <n v="16"/>
    <n v="41738000"/>
    <n v="40470000"/>
    <n v="39882000"/>
    <n v="18126000"/>
    <n v="21756000"/>
    <n v="167163000"/>
    <n v="31937000"/>
    <n v="101.21"/>
    <n v="3169"/>
    <n v="30040000"/>
    <n v="97.82"/>
    <n v="3256"/>
    <n v="1856000"/>
    <n v="0.95553212899516027"/>
    <n v="4.4467871004839711E-2"/>
  </r>
  <r>
    <d v="2018-02-09T00:00:00"/>
    <x v="6"/>
    <x v="3"/>
    <n v="9"/>
    <n v="30881000"/>
    <n v="30016000"/>
    <n v="29724000"/>
    <n v="12575000"/>
    <n v="17149000"/>
    <n v="114218000"/>
    <n v="13517000"/>
    <n v="28.86"/>
    <n v="2135"/>
    <n v="12685000"/>
    <n v="27.88"/>
    <n v="2198"/>
    <n v="1157000"/>
    <n v="0.96253359670995109"/>
    <n v="3.7466403290048897E-2"/>
  </r>
  <r>
    <d v="2018-02-02T00:00:00"/>
    <x v="6"/>
    <x v="3"/>
    <n v="2"/>
    <n v="18302000"/>
    <n v="17931000"/>
    <n v="17518000"/>
    <n v="6744000"/>
    <n v="10774000"/>
    <n v="74401000"/>
    <n v="6171000"/>
    <n v="12.56"/>
    <n v="2035"/>
    <n v="5860000"/>
    <n v="12.21"/>
    <n v="2084"/>
    <n v="784000"/>
    <n v="0.95716315156813458"/>
    <n v="4.2836848431865367E-2"/>
  </r>
  <r>
    <d v="2017-12-29T00:00:00"/>
    <x v="7"/>
    <x v="4"/>
    <n v="29"/>
    <n v="152235000"/>
    <n v="151916000"/>
    <n v="132319000"/>
    <n v="78924000"/>
    <n v="53395000"/>
    <n v="502095254"/>
    <n v="111873000"/>
    <n v="323.88"/>
    <n v="2895"/>
    <n v="89485000"/>
    <n v="270.82"/>
    <n v="3026"/>
    <n v="19916000"/>
    <n v="0.86917594508490159"/>
    <n v="0.13082405491509838"/>
  </r>
  <r>
    <d v="2017-11-24T00:00:00"/>
    <x v="7"/>
    <x v="7"/>
    <n v="24"/>
    <n v="151825000"/>
    <n v="151446000"/>
    <n v="132319000"/>
    <n v="78924000"/>
    <n v="53395000"/>
    <n v="475315554"/>
    <n v="111709000"/>
    <n v="322.60000000000002"/>
    <n v="2888"/>
    <n v="89402000"/>
    <n v="270.25"/>
    <n v="3023"/>
    <n v="19506000"/>
    <n v="0.87152313518853941"/>
    <n v="0.12847686481146056"/>
  </r>
  <r>
    <d v="2017-10-20T00:00:00"/>
    <x v="7"/>
    <x v="5"/>
    <n v="20"/>
    <n v="150838000"/>
    <n v="150177000"/>
    <n v="131948000"/>
    <n v="78567000"/>
    <n v="53381000"/>
    <n v="451232430"/>
    <n v="110800000"/>
    <n v="312"/>
    <n v="2816"/>
    <n v="89099000"/>
    <n v="266.2"/>
    <n v="2988"/>
    <n v="18890000"/>
    <n v="0.87476630557286628"/>
    <n v="0.12523369442713375"/>
  </r>
  <r>
    <d v="2017-09-01T00:00:00"/>
    <x v="7"/>
    <x v="11"/>
    <n v="1"/>
    <n v="145329000"/>
    <n v="145070000"/>
    <n v="127277000"/>
    <n v="74512000"/>
    <n v="52765000"/>
    <n v="417407116"/>
    <n v="108761000"/>
    <n v="302.52999999999997"/>
    <n v="2782"/>
    <n v="88052000"/>
    <n v="260.74"/>
    <n v="2961"/>
    <n v="18052000"/>
    <n v="0.8757852871759938"/>
    <n v="0.12421471282400622"/>
  </r>
  <r>
    <d v="2017-05-12T00:00:00"/>
    <x v="7"/>
    <x v="0"/>
    <n v="12"/>
    <n v="139586000"/>
    <n v="134192000"/>
    <n v="123634000"/>
    <n v="71463000"/>
    <n v="52171000"/>
    <n v="336315094"/>
    <n v="102863000"/>
    <n v="284.86"/>
    <n v="2769"/>
    <n v="85067000"/>
    <n v="250.08"/>
    <n v="2940"/>
    <n v="15952000"/>
    <n v="0.88571919820039258"/>
    <n v="0.11428080179960741"/>
  </r>
  <r>
    <d v="2017-05-05T00:00:00"/>
    <x v="7"/>
    <x v="0"/>
    <n v="5"/>
    <n v="138945000"/>
    <n v="132509000"/>
    <n v="123239000"/>
    <n v="71154000"/>
    <n v="52085000"/>
    <n v="329420774"/>
    <n v="101641000"/>
    <n v="281.66000000000003"/>
    <n v="2771"/>
    <n v="84424000"/>
    <n v="248.2"/>
    <n v="2940"/>
    <n v="15706000"/>
    <n v="0.88696246716326599"/>
    <n v="0.11303753283673396"/>
  </r>
  <r>
    <d v="2017-04-28T00:00:00"/>
    <x v="7"/>
    <x v="1"/>
    <n v="28"/>
    <n v="137496000"/>
    <n v="130862000"/>
    <n v="122782000"/>
    <n v="70815000"/>
    <n v="51967000"/>
    <n v="321661687"/>
    <n v="100124000"/>
    <n v="276.79000000000002"/>
    <n v="2764"/>
    <n v="83600000"/>
    <n v="245.27"/>
    <n v="2934"/>
    <n v="14714000"/>
    <n v="0.89298597777389888"/>
    <n v="0.10701402222610112"/>
  </r>
  <r>
    <d v="2017-04-21T00:00:00"/>
    <x v="7"/>
    <x v="1"/>
    <n v="21"/>
    <n v="135638000"/>
    <n v="128847000"/>
    <n v="122164000"/>
    <n v="70401000"/>
    <n v="51763000"/>
    <n v="312255666"/>
    <n v="97104000"/>
    <n v="268.3"/>
    <n v="2763"/>
    <n v="81646000"/>
    <n v="239.41"/>
    <n v="2932"/>
    <n v="13474000"/>
    <n v="0.90066205635588847"/>
    <n v="9.9337943644111526E-2"/>
  </r>
  <r>
    <d v="2017-04-14T00:00:00"/>
    <x v="7"/>
    <x v="1"/>
    <n v="14"/>
    <n v="118463000"/>
    <n v="115069000"/>
    <n v="108559000"/>
    <n v="63357000"/>
    <n v="45202000"/>
    <n v="294014055"/>
    <n v="87529000"/>
    <n v="246.41"/>
    <n v="2815"/>
    <n v="74644000"/>
    <n v="222.31"/>
    <n v="2978"/>
    <n v="9904000"/>
    <n v="0.91639583667474234"/>
    <n v="8.3604163325257677E-2"/>
  </r>
  <r>
    <d v="2017-04-07T00:00:00"/>
    <x v="7"/>
    <x v="1"/>
    <n v="7"/>
    <n v="103612000"/>
    <n v="101028000"/>
    <n v="95458000"/>
    <n v="54720000"/>
    <n v="40738000"/>
    <n v="276082236"/>
    <n v="80296000"/>
    <n v="228.95"/>
    <n v="2851"/>
    <n v="69293000"/>
    <n v="208.48"/>
    <n v="3009"/>
    <n v="8154000"/>
    <n v="0.9213025518279736"/>
    <n v="7.869744817202641E-2"/>
  </r>
  <r>
    <d v="2017-03-31T00:00:00"/>
    <x v="7"/>
    <x v="2"/>
    <n v="31"/>
    <n v="93675000"/>
    <n v="91297000"/>
    <n v="86595000"/>
    <n v="48646000"/>
    <n v="37949000"/>
    <n v="261081385"/>
    <n v="74196000"/>
    <n v="213.57"/>
    <n v="2878"/>
    <n v="64694000"/>
    <n v="196.08"/>
    <n v="3031"/>
    <n v="7080000"/>
    <n v="0.92441953562850276"/>
    <n v="7.5580464371497194E-2"/>
  </r>
  <r>
    <d v="2017-03-24T00:00:00"/>
    <x v="7"/>
    <x v="2"/>
    <n v="24"/>
    <n v="85251000"/>
    <n v="82990000"/>
    <n v="79125000"/>
    <n v="43395000"/>
    <n v="35730000"/>
    <n v="246382030"/>
    <n v="68348000"/>
    <n v="197.98"/>
    <n v="2987"/>
    <n v="60194000"/>
    <n v="183.21"/>
    <n v="3044"/>
    <n v="6126000"/>
    <n v="0.92814160537706303"/>
    <n v="7.1858394622936972E-2"/>
  </r>
  <r>
    <d v="2017-03-17T00:00:00"/>
    <x v="7"/>
    <x v="2"/>
    <n v="17"/>
    <n v="77475000"/>
    <n v="75208000"/>
    <n v="72205000"/>
    <n v="38548000"/>
    <n v="33657000"/>
    <n v="231360122"/>
    <n v="62494000"/>
    <n v="183.16"/>
    <n v="2931"/>
    <n v="55589000"/>
    <n v="170.67"/>
    <n v="3070"/>
    <n v="5270000"/>
    <n v="0.9319780574378832"/>
    <n v="6.8021942562116813E-2"/>
  </r>
  <r>
    <d v="2017-03-10T00:00:00"/>
    <x v="7"/>
    <x v="2"/>
    <n v="10"/>
    <n v="69403000"/>
    <n v="67302000"/>
    <n v="64953000"/>
    <n v="34093000"/>
    <n v="30860000"/>
    <n v="214973517"/>
    <n v="56220000"/>
    <n v="167.15"/>
    <n v="2973"/>
    <n v="50499000"/>
    <n v="156.81"/>
    <n v="3105"/>
    <n v="4450000"/>
    <n v="0.93588173421898191"/>
    <n v="6.4118265781018105E-2"/>
  </r>
  <r>
    <d v="2017-03-03T00:00:00"/>
    <x v="7"/>
    <x v="2"/>
    <n v="3"/>
    <n v="61063000"/>
    <n v="59081000"/>
    <n v="57435000"/>
    <n v="29293000"/>
    <n v="28142000"/>
    <n v="196533468"/>
    <n v="49352000"/>
    <n v="148.83000000000001"/>
    <n v="3016"/>
    <n v="44822000"/>
    <n v="140.66"/>
    <n v="3138"/>
    <n v="3628000"/>
    <n v="0.94058595221328789"/>
    <n v="5.9414047786712082E-2"/>
  </r>
  <r>
    <d v="2017-02-24T00:00:00"/>
    <x v="7"/>
    <x v="3"/>
    <n v="24"/>
    <n v="52096000"/>
    <n v="50425000"/>
    <n v="49371000"/>
    <n v="24220000"/>
    <n v="25151000"/>
    <n v="175337226"/>
    <n v="41427000"/>
    <n v="127.23"/>
    <n v="3071"/>
    <n v="38121000"/>
    <n v="121.33"/>
    <n v="3183"/>
    <n v="2725000"/>
    <n v="0.94769272113022118"/>
    <n v="5.2307278869778873E-2"/>
  </r>
  <r>
    <d v="2017-02-17T00:00:00"/>
    <x v="7"/>
    <x v="3"/>
    <n v="17"/>
    <n v="42502000"/>
    <n v="41301000"/>
    <n v="40447000"/>
    <n v="18941000"/>
    <n v="21506000"/>
    <n v="142134050"/>
    <n v="32904000"/>
    <n v="103.24"/>
    <n v="3137"/>
    <n v="30616000"/>
    <n v="99.17"/>
    <n v="3239"/>
    <n v="2055000"/>
    <n v="0.95164933414898123"/>
    <n v="4.8350665851018777E-2"/>
  </r>
  <r>
    <d v="2017-02-10T00:00:00"/>
    <x v="7"/>
    <x v="3"/>
    <n v="10"/>
    <n v="32089000"/>
    <n v="31422000"/>
    <n v="30827000"/>
    <n v="13518000"/>
    <n v="17309000"/>
    <n v="98635810"/>
    <n v="14059000"/>
    <n v="28.93"/>
    <n v="2058"/>
    <n v="13039000"/>
    <n v="27.78"/>
    <n v="2130"/>
    <n v="1262000"/>
    <n v="0.96067188133005077"/>
    <n v="3.9328118669949202E-2"/>
  </r>
  <r>
    <d v="2017-02-03T00:00:00"/>
    <x v="7"/>
    <x v="3"/>
    <n v="3"/>
    <n v="20181000"/>
    <n v="19968000"/>
    <n v="19407000"/>
    <n v="7796000"/>
    <n v="11611000"/>
    <n v="68464005"/>
    <n v="6596000"/>
    <n v="13.15"/>
    <n v="1994"/>
    <n v="6220000"/>
    <n v="12.75"/>
    <n v="2050"/>
    <n v="774000"/>
    <n v="0.96164709380110003"/>
    <n v="3.8352906198899958E-2"/>
  </r>
  <r>
    <d v="2017-01-27T00:00:00"/>
    <x v="7"/>
    <x v="9"/>
    <n v="27"/>
    <n v="8912000"/>
    <n v="8804000"/>
    <n v="8366000"/>
    <n v="3192000"/>
    <n v="5174000"/>
    <n v="45912743"/>
    <n v="2013000"/>
    <n v="3.76"/>
    <n v="1866"/>
    <n v="1916000"/>
    <n v="3.66"/>
    <n v="1909"/>
    <n v="546000"/>
    <n v="0.93873429084380611"/>
    <n v="6.1265709156193893E-2"/>
  </r>
  <r>
    <d v="2016-12-30T00:00:00"/>
    <x v="8"/>
    <x v="4"/>
    <n v="30"/>
    <n v="152544000"/>
    <n v="152250000"/>
    <n v="131851000"/>
    <n v="78736000"/>
    <n v="53115000"/>
    <n v="507269589"/>
    <n v="111069000"/>
    <n v="317.62"/>
    <n v="2860"/>
    <n v="88416000"/>
    <n v="264.82"/>
    <n v="2995"/>
    <n v="20693000"/>
    <n v="0.86434733585063983"/>
    <n v="0.1356526641493602"/>
  </r>
  <r>
    <d v="2016-12-02T00:00:00"/>
    <x v="8"/>
    <x v="4"/>
    <n v="2"/>
    <n v="152216000"/>
    <n v="151891000"/>
    <n v="131851000"/>
    <n v="78736000"/>
    <n v="53115000"/>
    <n v="488350707"/>
    <n v="110986000"/>
    <n v="317.08999999999997"/>
    <n v="2857"/>
    <n v="88371000"/>
    <n v="264.52999999999997"/>
    <n v="2993"/>
    <n v="20365000"/>
    <n v="0.86620985967309616"/>
    <n v="0.13379014032690387"/>
  </r>
  <r>
    <d v="2016-10-21T00:00:00"/>
    <x v="8"/>
    <x v="5"/>
    <n v="21"/>
    <n v="151187000"/>
    <n v="150570000"/>
    <n v="131628000"/>
    <n v="78521000"/>
    <n v="53107000"/>
    <n v="462252942"/>
    <n v="109959000"/>
    <n v="305.33999999999997"/>
    <n v="2777"/>
    <n v="88006000"/>
    <n v="259.88"/>
    <n v="2953"/>
    <n v="19559000"/>
    <n v="0.87063041134489072"/>
    <n v="0.12936958865510922"/>
  </r>
  <r>
    <d v="2016-09-02T00:00:00"/>
    <x v="8"/>
    <x v="11"/>
    <n v="2"/>
    <n v="145734000"/>
    <n v="145413000"/>
    <n v="127074000"/>
    <n v="74523000"/>
    <n v="52551000"/>
    <n v="429038682"/>
    <n v="108038000"/>
    <n v="297.07"/>
    <n v="2750"/>
    <n v="86991000"/>
    <n v="255"/>
    <n v="2931"/>
    <n v="18660000"/>
    <n v="0.87195849973238915"/>
    <n v="0.12804150026761085"/>
  </r>
  <r>
    <d v="2016-05-13T00:00:00"/>
    <x v="8"/>
    <x v="0"/>
    <n v="13"/>
    <n v="140258000"/>
    <n v="134438000"/>
    <n v="123737000"/>
    <n v="71740000"/>
    <n v="51997000"/>
    <n v="348401089"/>
    <n v="102424000"/>
    <n v="279.86"/>
    <n v="2732"/>
    <n v="84273000"/>
    <n v="244.84"/>
    <n v="2905"/>
    <n v="16521000"/>
    <n v="0.8822099274194698"/>
    <n v="0.11779007258053016"/>
  </r>
  <r>
    <d v="2016-05-06T00:00:00"/>
    <x v="8"/>
    <x v="0"/>
    <n v="6"/>
    <n v="139620000"/>
    <n v="132748000"/>
    <n v="123401000"/>
    <n v="71476000"/>
    <n v="51925000"/>
    <n v="341781659"/>
    <n v="101244000"/>
    <n v="276.52999999999997"/>
    <n v="2731"/>
    <n v="83669000"/>
    <n v="242.82"/>
    <n v="2902"/>
    <n v="16219000"/>
    <n v="0.88383469416988969"/>
    <n v="0.1161653058301103"/>
  </r>
  <r>
    <d v="2016-04-29T00:00:00"/>
    <x v="8"/>
    <x v="1"/>
    <n v="29"/>
    <n v="138827000"/>
    <n v="131245000"/>
    <n v="123023000"/>
    <n v="71193000"/>
    <n v="51830000"/>
    <n v="334395994"/>
    <n v="99899000"/>
    <n v="272.02999999999997"/>
    <n v="2723"/>
    <n v="82977000"/>
    <n v="240.17"/>
    <n v="2894"/>
    <n v="15804000"/>
    <n v="0.88616047310681645"/>
    <n v="0.11383952689318361"/>
  </r>
  <r>
    <d v="2016-04-22T00:00:00"/>
    <x v="8"/>
    <x v="1"/>
    <n v="22"/>
    <n v="136528000"/>
    <n v="129456000"/>
    <n v="122546000"/>
    <n v="70864000"/>
    <n v="51682000"/>
    <n v="325525568"/>
    <n v="97079000"/>
    <n v="263.2"/>
    <n v="2711"/>
    <n v="81221000"/>
    <n v="234.27"/>
    <n v="2884"/>
    <n v="13982000"/>
    <n v="0.89758877299894524"/>
    <n v="0.10241122700105473"/>
  </r>
  <r>
    <d v="2016-04-15T00:00:00"/>
    <x v="8"/>
    <x v="1"/>
    <n v="15"/>
    <n v="124616000"/>
    <n v="119923000"/>
    <n v="113402000"/>
    <n v="66361000"/>
    <n v="47041000"/>
    <n v="311499555"/>
    <n v="88833000"/>
    <n v="244.87"/>
    <n v="2757"/>
    <n v="75240000"/>
    <n v="220.03"/>
    <n v="2924"/>
    <n v="11214000"/>
    <n v="0.91001155549849133"/>
    <n v="8.9988444501508641E-2"/>
  </r>
  <r>
    <d v="2016-04-08T00:00:00"/>
    <x v="8"/>
    <x v="1"/>
    <n v="8"/>
    <n v="107452000"/>
    <n v="104527000"/>
    <n v="98731000"/>
    <n v="57006000"/>
    <n v="41725000"/>
    <n v="289884145"/>
    <n v="81751000"/>
    <n v="228.78"/>
    <n v="2798"/>
    <n v="70027000"/>
    <n v="207.36"/>
    <n v="2961"/>
    <n v="8721000"/>
    <n v="0.9188381789077914"/>
    <n v="8.1161821092208611E-2"/>
  </r>
  <r>
    <d v="2016-04-01T00:00:00"/>
    <x v="8"/>
    <x v="1"/>
    <n v="1"/>
    <n v="97631000"/>
    <n v="94988000"/>
    <n v="89973000"/>
    <n v="51014000"/>
    <n v="38959000"/>
    <n v="274877786"/>
    <n v="76040000"/>
    <n v="215.35"/>
    <n v="2832"/>
    <n v="65780000"/>
    <n v="196.63"/>
    <n v="2989"/>
    <n v="7658000"/>
    <n v="0.92156179901875424"/>
    <n v="7.8438200981245709E-2"/>
  </r>
  <r>
    <d v="2016-03-25T00:00:00"/>
    <x v="8"/>
    <x v="2"/>
    <n v="25"/>
    <n v="89412000"/>
    <n v="86914000"/>
    <n v="82787000"/>
    <n v="46100000"/>
    <n v="36687000"/>
    <n v="261025110"/>
    <n v="70786000"/>
    <n v="202.87"/>
    <n v="2866"/>
    <n v="61844000"/>
    <n v="186.55"/>
    <n v="3016"/>
    <n v="6625000"/>
    <n v="0.92590480025052568"/>
    <n v="7.4095199749474344E-2"/>
  </r>
  <r>
    <d v="2016-03-18T00:00:00"/>
    <x v="8"/>
    <x v="2"/>
    <n v="18"/>
    <n v="81960000"/>
    <n v="79631000"/>
    <n v="76212000"/>
    <n v="41558000"/>
    <n v="34654000"/>
    <n v="247070498"/>
    <n v="65441000"/>
    <n v="189.9"/>
    <n v="2902"/>
    <n v="57758000"/>
    <n v="175.85"/>
    <n v="3045"/>
    <n v="5748000"/>
    <n v="0.92986822840409955"/>
    <n v="7.0131771595900436E-2"/>
  </r>
  <r>
    <d v="2016-03-11T00:00:00"/>
    <x v="8"/>
    <x v="2"/>
    <n v="11"/>
    <n v="74456000"/>
    <n v="72164000"/>
    <n v="69527000"/>
    <n v="37148000"/>
    <n v="32379000"/>
    <n v="231878508"/>
    <n v="59727000"/>
    <n v="175.88"/>
    <n v="2945"/>
    <n v="53295000"/>
    <n v="164.06"/>
    <n v="3078"/>
    <n v="4929000"/>
    <n v="0.93379982808638662"/>
    <n v="6.6200171913613409E-2"/>
  </r>
  <r>
    <d v="2016-03-04T00:00:00"/>
    <x v="8"/>
    <x v="2"/>
    <n v="4"/>
    <n v="66723000"/>
    <n v="64441000"/>
    <n v="62636000"/>
    <n v="32600000"/>
    <n v="30036000"/>
    <n v="212608945"/>
    <n v="53508000"/>
    <n v="160.16999999999999"/>
    <n v="2993"/>
    <n v="48309000"/>
    <n v="150.57"/>
    <n v="3117"/>
    <n v="4087000"/>
    <n v="0.93874675898865456"/>
    <n v="6.1253241011345411E-2"/>
  </r>
  <r>
    <d v="2016-02-26T00:00:00"/>
    <x v="8"/>
    <x v="3"/>
    <n v="26"/>
    <n v="58304000"/>
    <n v="56290000"/>
    <n v="55081000"/>
    <n v="27709000"/>
    <n v="27372000"/>
    <n v="193235495"/>
    <n v="46533000"/>
    <n v="142.09"/>
    <n v="3053"/>
    <n v="42551000"/>
    <n v="134.65"/>
    <n v="3164"/>
    <n v="3223000"/>
    <n v="0.94472077387486275"/>
    <n v="5.5279226125137214E-2"/>
  </r>
  <r>
    <d v="2016-02-19T00:00:00"/>
    <x v="8"/>
    <x v="3"/>
    <n v="19"/>
    <n v="49020000"/>
    <n v="47420000"/>
    <n v="46758000"/>
    <n v="22588000"/>
    <n v="24170000"/>
    <n v="169616932"/>
    <n v="38550000"/>
    <n v="120.57"/>
    <n v="3128"/>
    <n v="35720000"/>
    <n v="115.23"/>
    <n v="3226"/>
    <n v="2262000"/>
    <n v="0.95385556915544678"/>
    <n v="4.6144430844553247E-2"/>
  </r>
  <r>
    <d v="2016-02-12T00:00:00"/>
    <x v="8"/>
    <x v="3"/>
    <n v="12"/>
    <n v="38737000"/>
    <n v="37672000"/>
    <n v="37106000"/>
    <n v="17122000"/>
    <n v="19984000"/>
    <n v="140786322"/>
    <n v="29155000"/>
    <n v="94"/>
    <n v="3224"/>
    <n v="27367000"/>
    <n v="90.56"/>
    <n v="3309"/>
    <n v="1631000"/>
    <n v="0.95789555205617372"/>
    <n v="4.2104447943826319E-2"/>
  </r>
  <r>
    <d v="2016-02-05T00:00:00"/>
    <x v="8"/>
    <x v="3"/>
    <n v="5"/>
    <n v="26670000"/>
    <n v="26133000"/>
    <n v="25656000"/>
    <n v="11010000"/>
    <n v="14646000"/>
    <n v="97487501"/>
    <n v="17321000"/>
    <n v="58.63"/>
    <n v="3385"/>
    <n v="16533000"/>
    <n v="57.05"/>
    <n v="3450"/>
    <n v="1014000"/>
    <n v="0.9619797525309336"/>
    <n v="3.8020247469066369E-2"/>
  </r>
  <r>
    <d v="2016-01-29T00:00:00"/>
    <x v="8"/>
    <x v="9"/>
    <n v="29"/>
    <n v="13288000"/>
    <n v="13124000"/>
    <n v="12585000"/>
    <n v="5106000"/>
    <n v="7479000"/>
    <n v="53386675"/>
    <n v="2248000"/>
    <n v="7.84"/>
    <n v="3486"/>
    <n v="2175000"/>
    <n v="7.69"/>
    <n v="3536"/>
    <n v="703000"/>
    <n v="0.94709512341962676"/>
    <n v="5.2904876580373267E-2"/>
  </r>
  <r>
    <d v="2015-12-25T00:00:00"/>
    <x v="9"/>
    <x v="4"/>
    <n v="25"/>
    <n v="150991000"/>
    <n v="150727000"/>
    <n v="128784000"/>
    <n v="78406000"/>
    <n v="50378000"/>
    <n v="490314213"/>
    <n v="109426000"/>
    <n v="306.02"/>
    <n v="2797"/>
    <n v="86228000"/>
    <n v="254.94"/>
    <n v="2957"/>
    <n v="22207000"/>
    <n v="0.85292500877535748"/>
    <n v="0.14707499122464252"/>
  </r>
  <r>
    <d v="2015-12-04T00:00:00"/>
    <x v="9"/>
    <x v="4"/>
    <n v="4"/>
    <n v="150655000"/>
    <n v="150356000"/>
    <n v="128784000"/>
    <n v="78406000"/>
    <n v="50378000"/>
    <n v="471766005"/>
    <n v="109346000"/>
    <n v="305.44"/>
    <n v="2793"/>
    <n v="86188000"/>
    <n v="254.68"/>
    <n v="2955"/>
    <n v="21871000"/>
    <n v="0.8548272543227905"/>
    <n v="0.14517274567720953"/>
  </r>
  <r>
    <d v="2015-11-20T00:00:00"/>
    <x v="9"/>
    <x v="7"/>
    <n v="20"/>
    <n v="150497000"/>
    <n v="150102000"/>
    <n v="128784000"/>
    <n v="78406000"/>
    <n v="50378000"/>
    <n v="464880260"/>
    <n v="109171000"/>
    <n v="304"/>
    <n v="2785"/>
    <n v="86145000"/>
    <n v="254.28"/>
    <n v="2952"/>
    <n v="21713000"/>
    <n v="0.85572469883120594"/>
    <n v="0.14427530116879406"/>
  </r>
  <r>
    <d v="2015-10-30T00:00:00"/>
    <x v="9"/>
    <x v="5"/>
    <n v="30"/>
    <n v="150062000"/>
    <n v="149351000"/>
    <n v="128653000"/>
    <n v="78279000"/>
    <n v="50374000"/>
    <n v="451563658"/>
    <n v="108739000"/>
    <n v="298.60000000000002"/>
    <n v="2746"/>
    <n v="86014000"/>
    <n v="252.47"/>
    <n v="2935"/>
    <n v="21409000"/>
    <n v="0.85733230264823868"/>
    <n v="0.14266769735176127"/>
  </r>
  <r>
    <d v="2015-10-23T00:00:00"/>
    <x v="9"/>
    <x v="5"/>
    <n v="23"/>
    <n v="149821000"/>
    <n v="149048000"/>
    <n v="128606000"/>
    <n v="78234000"/>
    <n v="50372000"/>
    <n v="446316318"/>
    <n v="108465000"/>
    <n v="296"/>
    <n v="2729"/>
    <n v="85904000"/>
    <n v="251.29"/>
    <n v="2925"/>
    <n v="21215000"/>
    <n v="0.85839768790756965"/>
    <n v="0.14160231209243029"/>
  </r>
  <r>
    <d v="2015-09-25T00:00:00"/>
    <x v="9"/>
    <x v="11"/>
    <n v="25"/>
    <n v="145088000"/>
    <n v="144815000"/>
    <n v="124840000"/>
    <n v="74940000"/>
    <n v="49900000"/>
    <n v="428728525"/>
    <n v="106981000"/>
    <n v="289.79000000000002"/>
    <n v="2709"/>
    <n v="85090000"/>
    <n v="247.52"/>
    <n v="2909"/>
    <n v="20248000"/>
    <n v="0.86044331715924127"/>
    <n v="0.1395566828407587"/>
  </r>
  <r>
    <d v="2015-08-28T00:00:00"/>
    <x v="9"/>
    <x v="10"/>
    <n v="28"/>
    <n v="143780000"/>
    <n v="143526000"/>
    <n v="123945000"/>
    <n v="74154000"/>
    <n v="49791000"/>
    <n v="411675144"/>
    <n v="106298000"/>
    <n v="287.39999999999998"/>
    <n v="2704"/>
    <n v="84781000"/>
    <n v="246.21"/>
    <n v="2904"/>
    <n v="19835000"/>
    <n v="0.86204618166643487"/>
    <n v="0.13795381833356518"/>
  </r>
  <r>
    <d v="2015-07-31T00:00:00"/>
    <x v="9"/>
    <x v="8"/>
    <n v="31"/>
    <n v="142603000"/>
    <n v="142244000"/>
    <n v="123199000"/>
    <n v="73529000"/>
    <n v="49670000"/>
    <n v="393555113"/>
    <n v="105490000"/>
    <n v="284.77999999999997"/>
    <n v="2700"/>
    <n v="84421000"/>
    <n v="244.78"/>
    <n v="2900"/>
    <n v="19404000"/>
    <n v="0.86392993134786789"/>
    <n v="0.13607006865213214"/>
  </r>
  <r>
    <d v="2015-05-15T00:00:00"/>
    <x v="9"/>
    <x v="0"/>
    <n v="15"/>
    <n v="138209000"/>
    <n v="133403000"/>
    <n v="120612000"/>
    <n v="71417000"/>
    <n v="49195000"/>
    <n v="334566853"/>
    <n v="101407000"/>
    <n v="273.55"/>
    <n v="2698"/>
    <n v="82531000"/>
    <n v="238.3"/>
    <n v="2887"/>
    <n v="17597000"/>
    <n v="0.87267833498542058"/>
    <n v="0.12732166501457937"/>
  </r>
  <r>
    <d v="2015-05-08T00:00:00"/>
    <x v="9"/>
    <x v="0"/>
    <n v="8"/>
    <n v="137312000"/>
    <n v="131852000"/>
    <n v="120253000"/>
    <n v="71135000"/>
    <n v="49118000"/>
    <n v="326306561"/>
    <n v="100320000"/>
    <n v="270.99"/>
    <n v="2701"/>
    <n v="82029000"/>
    <n v="236.89"/>
    <n v="2888"/>
    <n v="17059000"/>
    <n v="0.87576468189233281"/>
    <n v="0.12423531810766721"/>
  </r>
  <r>
    <d v="2015-05-01T00:00:00"/>
    <x v="9"/>
    <x v="0"/>
    <n v="1"/>
    <n v="136191000"/>
    <n v="130145000"/>
    <n v="119865000"/>
    <n v="70835000"/>
    <n v="49030000"/>
    <n v="320834027"/>
    <n v="99020000"/>
    <n v="267.61"/>
    <n v="2703"/>
    <n v="81425000"/>
    <n v="235.03"/>
    <n v="2887"/>
    <n v="16326000"/>
    <n v="0.88012423728440203"/>
    <n v="0.11987576271559795"/>
  </r>
  <r>
    <d v="2015-04-24T00:00:00"/>
    <x v="9"/>
    <x v="1"/>
    <n v="24"/>
    <n v="134209000"/>
    <n v="128317000"/>
    <n v="119402000"/>
    <n v="70491000"/>
    <n v="48911000"/>
    <n v="310407523"/>
    <n v="97097000"/>
    <n v="262.19"/>
    <n v="2700"/>
    <n v="80383000"/>
    <n v="231.69"/>
    <n v="2882"/>
    <n v="14807000"/>
    <n v="0.88967207862363928"/>
    <n v="0.11032792137636076"/>
  </r>
  <r>
    <d v="2015-04-17T00:00:00"/>
    <x v="9"/>
    <x v="1"/>
    <n v="17"/>
    <n v="132268000"/>
    <n v="126121000"/>
    <n v="118766000"/>
    <n v="70064000"/>
    <n v="48702000"/>
    <n v="300060301"/>
    <n v="91818000"/>
    <n v="248.92"/>
    <n v="2711"/>
    <n v="76824000"/>
    <n v="222"/>
    <n v="2890"/>
    <n v="13502000"/>
    <n v="0.89791937581274384"/>
    <n v="0.10208062418725618"/>
  </r>
  <r>
    <d v="2015-04-10T00:00:00"/>
    <x v="9"/>
    <x v="1"/>
    <n v="10"/>
    <n v="110754000"/>
    <n v="108000000"/>
    <n v="100759000"/>
    <n v="59976000"/>
    <n v="40783000"/>
    <n v="274611418"/>
    <n v="83184000"/>
    <n v="230.92"/>
    <n v="2776"/>
    <n v="70510000"/>
    <n v="207.79"/>
    <n v="2947"/>
    <n v="9995000"/>
    <n v="0.9097549524170685"/>
    <n v="9.0245047582931545E-2"/>
  </r>
  <r>
    <d v="2015-04-03T00:00:00"/>
    <x v="9"/>
    <x v="1"/>
    <n v="3"/>
    <n v="99056000"/>
    <n v="96992000"/>
    <n v="90608000"/>
    <n v="52963000"/>
    <n v="37645000"/>
    <n v="258535303"/>
    <n v="77200000"/>
    <n v="217.35"/>
    <n v="2815"/>
    <n v="66179000"/>
    <n v="197.13"/>
    <n v="2979"/>
    <n v="8448000"/>
    <n v="0.91471490873849137"/>
    <n v="8.5285091261508642E-2"/>
  </r>
  <r>
    <d v="2015-03-27T00:00:00"/>
    <x v="9"/>
    <x v="2"/>
    <n v="27"/>
    <n v="90255000"/>
    <n v="88298000"/>
    <n v="82905000"/>
    <n v="47565000"/>
    <n v="35340000"/>
    <n v="243272673"/>
    <n v="71685000"/>
    <n v="204.5"/>
    <n v="2853"/>
    <n v="62129000"/>
    <n v="186.87"/>
    <n v="3008"/>
    <n v="7350000"/>
    <n v="0.91856406847266081"/>
    <n v="8.1435931527339203E-2"/>
  </r>
  <r>
    <d v="2015-03-20T00:00:00"/>
    <x v="9"/>
    <x v="2"/>
    <n v="20"/>
    <n v="82289000"/>
    <n v="80439000"/>
    <n v="76022000"/>
    <n v="42711000"/>
    <n v="33311000"/>
    <n v="227702714"/>
    <n v="66108000"/>
    <n v="191.23"/>
    <n v="2893"/>
    <n v="57944000"/>
    <n v="176.06"/>
    <n v="3038"/>
    <n v="6267000"/>
    <n v="0.92384158271457906"/>
    <n v="7.6158417285420901E-2"/>
  </r>
  <r>
    <d v="2015-03-13T00:00:00"/>
    <x v="9"/>
    <x v="2"/>
    <n v="13"/>
    <n v="74455000"/>
    <n v="72706000"/>
    <n v="69189000"/>
    <n v="38089000"/>
    <n v="31100000"/>
    <n v="211432154"/>
    <n v="60320000"/>
    <n v="177.24"/>
    <n v="2938"/>
    <n v="53485000"/>
    <n v="164.41"/>
    <n v="3074"/>
    <n v="5266000"/>
    <n v="0.92927271506278963"/>
    <n v="7.0727284937210394E-2"/>
  </r>
  <r>
    <d v="2015-03-06T00:00:00"/>
    <x v="9"/>
    <x v="2"/>
    <n v="6"/>
    <n v="66700000"/>
    <n v="64900000"/>
    <n v="62342000"/>
    <n v="33419000"/>
    <n v="28923000"/>
    <n v="196652187"/>
    <n v="54258000"/>
    <n v="162.11000000000001"/>
    <n v="2988"/>
    <n v="48699000"/>
    <n v="151.55000000000001"/>
    <n v="3112"/>
    <n v="4358000"/>
    <n v="0.93466266866566716"/>
    <n v="6.5337331334332838E-2"/>
  </r>
  <r>
    <d v="2015-02-27T00:00:00"/>
    <x v="9"/>
    <x v="3"/>
    <n v="27"/>
    <n v="58528000"/>
    <n v="56857000"/>
    <n v="55104000"/>
    <n v="28733000"/>
    <n v="26371000"/>
    <n v="177807672"/>
    <n v="47547000"/>
    <n v="144.9"/>
    <n v="3048"/>
    <n v="43228000"/>
    <n v="136.57"/>
    <n v="3159"/>
    <n v="3424000"/>
    <n v="0.9414980863860033"/>
    <n v="5.8501913613996717E-2"/>
  </r>
  <r>
    <d v="2015-02-20T00:00:00"/>
    <x v="9"/>
    <x v="3"/>
    <n v="20"/>
    <n v="49652000"/>
    <n v="48295000"/>
    <n v="47157000"/>
    <n v="23725000"/>
    <n v="23432000"/>
    <n v="155780478"/>
    <n v="39964000"/>
    <n v="124.67"/>
    <n v="3120"/>
    <n v="36817000"/>
    <n v="118.5"/>
    <n v="3219"/>
    <n v="2495000"/>
    <n v="0.94975026182228306"/>
    <n v="5.0249738177716913E-2"/>
  </r>
  <r>
    <d v="2015-02-13T00:00:00"/>
    <x v="9"/>
    <x v="3"/>
    <n v="13"/>
    <n v="39699000"/>
    <n v="38669000"/>
    <n v="37919000"/>
    <n v="18465000"/>
    <n v="19454000"/>
    <n v="130268292"/>
    <n v="30930000"/>
    <n v="99.73"/>
    <n v="3224"/>
    <n v="28884000"/>
    <n v="95.58"/>
    <n v="3309"/>
    <n v="1780000"/>
    <n v="0.95516259855411978"/>
    <n v="4.4837401445880248E-2"/>
  </r>
  <r>
    <d v="2015-02-06T00:00:00"/>
    <x v="9"/>
    <x v="3"/>
    <n v="6"/>
    <n v="27517000"/>
    <n v="27084000"/>
    <n v="26472000"/>
    <n v="12135000"/>
    <n v="14337000"/>
    <n v="97768901"/>
    <n v="19651000"/>
    <n v="66.14"/>
    <n v="3366"/>
    <n v="18647000"/>
    <n v="63.98"/>
    <n v="3431"/>
    <n v="1045000"/>
    <n v="0.9620234763964095"/>
    <n v="3.7976523603590509E-2"/>
  </r>
  <r>
    <d v="2015-01-30T00:00:00"/>
    <x v="9"/>
    <x v="9"/>
    <n v="30"/>
    <n v="14026000"/>
    <n v="13897000"/>
    <n v="13327000"/>
    <n v="5857000"/>
    <n v="7469000"/>
    <n v="65561078"/>
    <n v="7595000"/>
    <n v="26.88"/>
    <n v="3539"/>
    <n v="7310000"/>
    <n v="26.21"/>
    <n v="3586"/>
    <n v="699000"/>
    <n v="0.95016398117781264"/>
    <n v="4.983601882218737E-2"/>
  </r>
  <r>
    <d v="2014-12-26T00:00:00"/>
    <x v="10"/>
    <x v="4"/>
    <n v="26"/>
    <n v="149685000"/>
    <n v="149510000"/>
    <n v="125821000"/>
    <n v="77875000"/>
    <n v="47946000"/>
    <n v="442134043"/>
    <n v="109499000"/>
    <n v="305.73"/>
    <n v="2792"/>
    <n v="83995000"/>
    <n v="245.09"/>
    <n v="2918"/>
    <n v="23864000"/>
    <n v="0.84057186758860269"/>
    <n v="0.15942813241139728"/>
  </r>
  <r>
    <d v="2014-11-21T00:00:00"/>
    <x v="10"/>
    <x v="7"/>
    <n v="21"/>
    <n v="149215000"/>
    <n v="148954000"/>
    <n v="125821000"/>
    <n v="77875000"/>
    <n v="47946000"/>
    <n v="419828804"/>
    <n v="109264000"/>
    <n v="304.04000000000002"/>
    <n v="2783"/>
    <n v="83915000"/>
    <n v="244.62"/>
    <n v="2915"/>
    <n v="23394000"/>
    <n v="0.84321951546426299"/>
    <n v="0.15678048453573704"/>
  </r>
  <r>
    <d v="2014-10-31T00:00:00"/>
    <x v="10"/>
    <x v="5"/>
    <n v="31"/>
    <n v="148787000"/>
    <n v="148112000"/>
    <n v="125720000"/>
    <n v="77776000"/>
    <n v="47944000"/>
    <n v="406015057"/>
    <n v="108874000"/>
    <n v="299.39"/>
    <n v="2750"/>
    <n v="83806000"/>
    <n v="243.24"/>
    <n v="2902"/>
    <n v="23067000"/>
    <n v="0.84496629409827473"/>
    <n v="0.15503370590172527"/>
  </r>
  <r>
    <d v="2014-09-26T00:00:00"/>
    <x v="10"/>
    <x v="11"/>
    <n v="26"/>
    <n v="143912000"/>
    <n v="143715000"/>
    <n v="122102000"/>
    <n v="74638000"/>
    <n v="47464000"/>
    <n v="382306729"/>
    <n v="107187000"/>
    <n v="290.16000000000003"/>
    <n v="2707"/>
    <n v="82929000"/>
    <n v="238.34"/>
    <n v="2874"/>
    <n v="21810000"/>
    <n v="0.84844905219856581"/>
    <n v="0.15155094780143422"/>
  </r>
  <r>
    <d v="2014-08-29T00:00:00"/>
    <x v="10"/>
    <x v="10"/>
    <n v="29"/>
    <n v="142578000"/>
    <n v="142360000"/>
    <n v="121192000"/>
    <n v="73878000"/>
    <n v="47314000"/>
    <n v="365416355"/>
    <n v="106563000"/>
    <n v="287.63"/>
    <n v="2699"/>
    <n v="82624000"/>
    <n v="236.96"/>
    <n v="2868"/>
    <n v="21386000"/>
    <n v="0.8500049095933454"/>
    <n v="0.1499950904066546"/>
  </r>
  <r>
    <d v="2014-08-01T00:00:00"/>
    <x v="10"/>
    <x v="10"/>
    <n v="1"/>
    <n v="141336000"/>
    <n v="141051000"/>
    <n v="120429000"/>
    <n v="73287000"/>
    <n v="47142000"/>
    <n v="348210731"/>
    <n v="105888000"/>
    <n v="285.31"/>
    <n v="2694"/>
    <n v="82306000"/>
    <n v="235.69"/>
    <n v="2864"/>
    <n v="20907000"/>
    <n v="0.8520759042282221"/>
    <n v="0.1479240957717779"/>
  </r>
  <r>
    <d v="2014-05-16T00:00:00"/>
    <x v="10"/>
    <x v="0"/>
    <n v="16"/>
    <n v="136887000"/>
    <n v="132571000"/>
    <n v="117763000"/>
    <n v="71263000"/>
    <n v="46500000"/>
    <n v="296244054"/>
    <n v="102139000"/>
    <n v="274.7"/>
    <n v="2689"/>
    <n v="80583000"/>
    <n v="229.72"/>
    <n v="2851"/>
    <n v="19124000"/>
    <n v="0.8602935267775611"/>
    <n v="0.13970647322243895"/>
  </r>
  <r>
    <d v="2014-05-09T00:00:00"/>
    <x v="10"/>
    <x v="0"/>
    <n v="9"/>
    <n v="136244000"/>
    <n v="131069000"/>
    <n v="117403000"/>
    <n v="70994000"/>
    <n v="46409000"/>
    <n v="290429932"/>
    <n v="101176000"/>
    <n v="272.47000000000003"/>
    <n v="2693"/>
    <n v="80164000"/>
    <n v="228.54"/>
    <n v="2851"/>
    <n v="18841000"/>
    <n v="0.86171134141686978"/>
    <n v="0.13828865858313028"/>
  </r>
  <r>
    <d v="2014-05-02T00:00:00"/>
    <x v="10"/>
    <x v="0"/>
    <n v="2"/>
    <n v="135504000"/>
    <n v="129479000"/>
    <n v="117016000"/>
    <n v="70707000"/>
    <n v="46309000"/>
    <n v="284365227"/>
    <n v="99948000"/>
    <n v="269.48"/>
    <n v="2696"/>
    <n v="79622000"/>
    <n v="226.99"/>
    <n v="2851"/>
    <n v="18488000"/>
    <n v="0.86356122328492146"/>
    <n v="0.13643877671507851"/>
  </r>
  <r>
    <d v="2014-04-25T00:00:00"/>
    <x v="10"/>
    <x v="1"/>
    <n v="25"/>
    <n v="134334000"/>
    <n v="127710000"/>
    <n v="116556000"/>
    <n v="70379000"/>
    <n v="46177000"/>
    <n v="277260138"/>
    <n v="98379000"/>
    <n v="265.05"/>
    <n v="2694"/>
    <n v="78887000"/>
    <n v="224.59"/>
    <n v="2847"/>
    <n v="17778000"/>
    <n v="0.86765822502121581"/>
    <n v="0.13234177497878422"/>
  </r>
  <r>
    <d v="2014-04-18T00:00:00"/>
    <x v="10"/>
    <x v="1"/>
    <n v="18"/>
    <n v="131170000"/>
    <n v="125604000"/>
    <n v="115969000"/>
    <n v="69992000"/>
    <n v="45977000"/>
    <n v="269138999"/>
    <n v="94809000"/>
    <n v="254.7"/>
    <n v="2686"/>
    <n v="76714000"/>
    <n v="217.66"/>
    <n v="2837"/>
    <n v="15201000"/>
    <n v="0.88411222078219109"/>
    <n v="0.11588777921780895"/>
  </r>
  <r>
    <d v="2014-04-11T00:00:00"/>
    <x v="10"/>
    <x v="1"/>
    <n v="11"/>
    <n v="112741000"/>
    <n v="110266000"/>
    <n v="101288000"/>
    <n v="61956000"/>
    <n v="39332000"/>
    <n v="249699045"/>
    <n v="85262000"/>
    <n v="234.55"/>
    <n v="2751"/>
    <n v="69924000"/>
    <n v="202.17"/>
    <n v="2891"/>
    <n v="11453000"/>
    <n v="0.89841317710504609"/>
    <n v="0.10158682289495392"/>
  </r>
  <r>
    <d v="2014-04-04T00:00:00"/>
    <x v="10"/>
    <x v="1"/>
    <n v="4"/>
    <n v="99848000"/>
    <n v="98170000"/>
    <n v="90306000"/>
    <n v="54295000"/>
    <n v="36011000"/>
    <n v="234510211"/>
    <n v="78769000"/>
    <n v="219.94"/>
    <n v="2792"/>
    <n v="65326000"/>
    <n v="190.93"/>
    <n v="2923"/>
    <n v="9542000"/>
    <n v="0.90443474080602515"/>
    <n v="9.5565259193974836E-2"/>
  </r>
  <r>
    <d v="2014-03-28T00:00:00"/>
    <x v="10"/>
    <x v="2"/>
    <n v="28"/>
    <n v="90762000"/>
    <n v="89127000"/>
    <n v="82441000"/>
    <n v="48787000"/>
    <n v="33654000"/>
    <n v="220978418"/>
    <n v="73035000"/>
    <n v="206.79"/>
    <n v="2831"/>
    <n v="61223000"/>
    <n v="180.69"/>
    <n v="2951"/>
    <n v="8321000"/>
    <n v="0.90832066283246293"/>
    <n v="9.1679337167537081E-2"/>
  </r>
  <r>
    <d v="2014-03-21T00:00:00"/>
    <x v="10"/>
    <x v="2"/>
    <n v="21"/>
    <n v="82823000"/>
    <n v="81149000"/>
    <n v="75610000"/>
    <n v="43953000"/>
    <n v="31657000"/>
    <n v="207734597"/>
    <n v="67383000"/>
    <n v="193.54"/>
    <n v="2872"/>
    <n v="57101000"/>
    <n v="170.19"/>
    <n v="2980"/>
    <n v="7213000"/>
    <n v="0.91291066491192063"/>
    <n v="8.7089335088079395E-2"/>
  </r>
  <r>
    <d v="2014-03-14T00:00:00"/>
    <x v="10"/>
    <x v="2"/>
    <n v="14"/>
    <n v="75101000"/>
    <n v="73157000"/>
    <n v="68966000"/>
    <n v="39413000"/>
    <n v="29553000"/>
    <n v="194206816"/>
    <n v="61645000"/>
    <n v="179.79"/>
    <n v="2917"/>
    <n v="52770000"/>
    <n v="158.97999999999999"/>
    <n v="3013"/>
    <n v="6135000"/>
    <n v="0.91831000918762729"/>
    <n v="8.1689990812372673E-2"/>
  </r>
  <r>
    <d v="2014-03-07T00:00:00"/>
    <x v="10"/>
    <x v="2"/>
    <n v="7"/>
    <n v="67183000"/>
    <n v="65662000"/>
    <n v="62213000"/>
    <n v="34816000"/>
    <n v="27397000"/>
    <n v="179637790"/>
    <n v="55434000"/>
    <n v="164.59"/>
    <n v="2969"/>
    <n v="47976000"/>
    <n v="146.31"/>
    <n v="3050"/>
    <n v="4970000"/>
    <n v="0.92602295223494036"/>
    <n v="7.3977047765059617E-2"/>
  </r>
  <r>
    <d v="2014-02-28T00:00:00"/>
    <x v="10"/>
    <x v="3"/>
    <n v="28"/>
    <n v="58883000"/>
    <n v="57410000"/>
    <n v="54942000"/>
    <n v="30053000"/>
    <n v="24889000"/>
    <n v="163397540"/>
    <n v="48429000"/>
    <n v="146.91999999999999"/>
    <n v="3034"/>
    <n v="42380000"/>
    <n v="131.19999999999999"/>
    <n v="3096"/>
    <n v="3941000"/>
    <n v="0.9330706655571217"/>
    <n v="6.6929334442878255E-2"/>
  </r>
  <r>
    <d v="2014-02-21T00:00:00"/>
    <x v="10"/>
    <x v="3"/>
    <n v="21"/>
    <n v="49558000"/>
    <n v="48335000"/>
    <n v="46641000"/>
    <n v="24687000"/>
    <n v="21954000"/>
    <n v="143672874"/>
    <n v="40389000"/>
    <n v="125.83"/>
    <n v="3116"/>
    <n v="35694000"/>
    <n v="112.63"/>
    <n v="3155"/>
    <n v="2917000"/>
    <n v="0.94113967472456517"/>
    <n v="5.8860325275434847E-2"/>
  </r>
  <r>
    <d v="2014-02-14T00:00:00"/>
    <x v="10"/>
    <x v="3"/>
    <n v="14"/>
    <n v="39224000"/>
    <n v="38385000"/>
    <n v="37165000"/>
    <n v="18953000"/>
    <n v="18212000"/>
    <n v="119297626"/>
    <n v="31307000"/>
    <n v="100.54"/>
    <n v="3211"/>
    <n v="27747000"/>
    <n v="89.59"/>
    <n v="3229"/>
    <n v="2059000"/>
    <n v="0.94750662859473789"/>
    <n v="5.2493371405262085E-2"/>
  </r>
  <r>
    <d v="2014-02-07T00:00:00"/>
    <x v="10"/>
    <x v="3"/>
    <n v="7"/>
    <n v="27249000"/>
    <n v="26945000"/>
    <n v="26081000"/>
    <n v="12699000"/>
    <n v="13382000"/>
    <n v="85095129"/>
    <n v="19459000"/>
    <n v="64.55"/>
    <n v="3317"/>
    <n v="16976000"/>
    <n v="55.82"/>
    <n v="3288"/>
    <n v="1168000"/>
    <n v="0.95713604168960331"/>
    <n v="4.2863958310396709E-2"/>
  </r>
  <r>
    <d v="2014-01-31T00:00:00"/>
    <x v="10"/>
    <x v="9"/>
    <n v="31"/>
    <n v="11169000"/>
    <n v="11036000"/>
    <n v="10418000"/>
    <n v="4212000"/>
    <n v="6206000"/>
    <n v="43996932"/>
    <n v="3838000"/>
    <n v="12.35"/>
    <n v="3218"/>
    <n v="3715000"/>
    <n v="12.05"/>
    <n v="3244"/>
    <n v="751000"/>
    <n v="0.93276031873936793"/>
    <n v="6.7239681260632109E-2"/>
  </r>
  <r>
    <d v="2013-12-27T00:00:00"/>
    <x v="11"/>
    <x v="4"/>
    <n v="27"/>
    <n v="148197000"/>
    <n v="147910000"/>
    <n v="122515000"/>
    <n v="77268000"/>
    <n v="45247000"/>
    <n v="456704240"/>
    <n v="109563000"/>
    <n v="301.83999999999997"/>
    <n v="2755"/>
    <n v="83836000"/>
    <n v="245.6"/>
    <n v="2929"/>
    <n v="25682000"/>
    <n v="0.82670364447323497"/>
    <n v="0.17329635552676506"/>
  </r>
  <r>
    <d v="2013-11-22T00:00:00"/>
    <x v="11"/>
    <x v="7"/>
    <n v="22"/>
    <n v="147744000"/>
    <n v="147223000"/>
    <n v="122515000"/>
    <n v="77268000"/>
    <n v="45247000"/>
    <n v="437814185"/>
    <n v="109261000"/>
    <n v="299.86"/>
    <n v="2744"/>
    <n v="83728000"/>
    <n v="244.93"/>
    <n v="2925"/>
    <n v="25229000"/>
    <n v="0.8292384123889972"/>
    <n v="0.17076158761100282"/>
  </r>
  <r>
    <d v="2013-05-17T00:00:00"/>
    <x v="11"/>
    <x v="0"/>
    <n v="17"/>
    <n v="135096000"/>
    <n v="131100000"/>
    <n v="114422000"/>
    <n v="70739000"/>
    <n v="43683000"/>
    <n v="323793587"/>
    <n v="101913000"/>
    <n v="270.32"/>
    <n v="2652"/>
    <n v="80267000"/>
    <n v="229.8"/>
    <n v="2863"/>
    <n v="20674000"/>
    <n v="0.84696808195653461"/>
    <n v="0.15303191804346539"/>
  </r>
  <r>
    <d v="2013-05-10T00:00:00"/>
    <x v="11"/>
    <x v="0"/>
    <n v="10"/>
    <n v="134465000"/>
    <n v="129674000"/>
    <n v="114070000"/>
    <n v="70474000"/>
    <n v="43596000"/>
    <n v="317992771"/>
    <n v="101082000"/>
    <n v="267.95"/>
    <n v="2651"/>
    <n v="79880000"/>
    <n v="228.47"/>
    <n v="2860"/>
    <n v="20395000"/>
    <n v="0.84832484289592092"/>
    <n v="0.15167515710407914"/>
  </r>
  <r>
    <d v="2013-05-03T00:00:00"/>
    <x v="11"/>
    <x v="0"/>
    <n v="3"/>
    <n v="133803000"/>
    <n v="127586000"/>
    <n v="113679000"/>
    <n v="70184000"/>
    <n v="43496000"/>
    <n v="312001989"/>
    <n v="99551000"/>
    <n v="264.42"/>
    <n v="2656"/>
    <n v="79226000"/>
    <n v="226.57"/>
    <n v="2860"/>
    <n v="20124000"/>
    <n v="0.84959978475818931"/>
    <n v="0.15040021524181071"/>
  </r>
  <r>
    <d v="2013-04-26T00:00:00"/>
    <x v="11"/>
    <x v="1"/>
    <n v="26"/>
    <n v="132760000"/>
    <n v="125392000"/>
    <n v="113226000"/>
    <n v="69855000"/>
    <n v="43371000"/>
    <n v="304957832"/>
    <n v="97752000"/>
    <n v="259.73"/>
    <n v="2657"/>
    <n v="78425000"/>
    <n v="224.05"/>
    <n v="2857"/>
    <n v="19534000"/>
    <n v="0.85286230792407347"/>
    <n v="0.14713769207592647"/>
  </r>
  <r>
    <d v="2013-04-19T00:00:00"/>
    <x v="11"/>
    <x v="1"/>
    <n v="19"/>
    <n v="130203000"/>
    <n v="120737000"/>
    <n v="112665000"/>
    <n v="69474000"/>
    <n v="43191000"/>
    <n v="296468446"/>
    <n v="93839000"/>
    <n v="249.49"/>
    <n v="2659"/>
    <n v="76135000"/>
    <n v="217.19"/>
    <n v="2853"/>
    <n v="17538000"/>
    <n v="0.86530264279624891"/>
    <n v="0.13469735720375106"/>
  </r>
  <r>
    <d v="2013-04-12T00:00:00"/>
    <x v="11"/>
    <x v="1"/>
    <n v="12"/>
    <n v="112403000"/>
    <n v="103880000"/>
    <n v="99787000"/>
    <n v="62163000"/>
    <n v="37624000"/>
    <n v="278307884"/>
    <n v="84581000"/>
    <n v="229.61"/>
    <n v="2715"/>
    <n v="69680000"/>
    <n v="202.19"/>
    <n v="2902"/>
    <n v="12616000"/>
    <n v="0.88776100282020942"/>
    <n v="0.11223899717979058"/>
  </r>
  <r>
    <d v="2013-04-05T00:00:00"/>
    <x v="11"/>
    <x v="1"/>
    <n v="5"/>
    <n v="99131000"/>
    <n v="93103000"/>
    <n v="88638000"/>
    <n v="54673000"/>
    <n v="33964000"/>
    <n v="261597162"/>
    <n v="77849000"/>
    <n v="214.49"/>
    <n v="2755"/>
    <n v="65020000"/>
    <n v="190.75"/>
    <n v="2934"/>
    <n v="10493000"/>
    <n v="0.89415016493327015"/>
    <n v="0.10584983506672989"/>
  </r>
  <r>
    <d v="2013-03-29T00:00:00"/>
    <x v="11"/>
    <x v="2"/>
    <n v="29"/>
    <n v="90244000"/>
    <n v="85039000"/>
    <n v="80991000"/>
    <n v="49214000"/>
    <n v="31777000"/>
    <n v="247990560"/>
    <n v="72231000"/>
    <n v="201.5"/>
    <n v="2790"/>
    <n v="61133000"/>
    <n v="180.87"/>
    <n v="2959"/>
    <n v="9253000"/>
    <n v="0.89746686760338634"/>
    <n v="0.10253313239661363"/>
  </r>
  <r>
    <d v="2013-03-22T00:00:00"/>
    <x v="11"/>
    <x v="2"/>
    <n v="22"/>
    <n v="82413000"/>
    <n v="77102000"/>
    <n v="74420000"/>
    <n v="44524000"/>
    <n v="29896000"/>
    <n v="234237695"/>
    <n v="66429000"/>
    <n v="187.79"/>
    <n v="2827"/>
    <n v="56985000"/>
    <n v="170.13"/>
    <n v="2985"/>
    <n v="7993000"/>
    <n v="0.90301287418247123"/>
    <n v="9.6987125817528788E-2"/>
  </r>
  <r>
    <d v="2013-03-15T00:00:00"/>
    <x v="11"/>
    <x v="2"/>
    <n v="15"/>
    <n v="74882000"/>
    <n v="69153000"/>
    <n v="68029000"/>
    <n v="40117000"/>
    <n v="27912000"/>
    <n v="218469657"/>
    <n v="60243000"/>
    <n v="172.49"/>
    <n v="2863"/>
    <n v="52414000"/>
    <n v="157.79"/>
    <n v="3010"/>
    <n v="6853000"/>
    <n v="0.90848267941561389"/>
    <n v="9.1517320584386094E-2"/>
  </r>
  <r>
    <d v="2013-03-08T00:00:00"/>
    <x v="11"/>
    <x v="2"/>
    <n v="8"/>
    <n v="67143000"/>
    <n v="60944000"/>
    <n v="61488000"/>
    <n v="35585000"/>
    <n v="25903000"/>
    <n v="197651780"/>
    <n v="53447000"/>
    <n v="154.69999999999999"/>
    <n v="2894"/>
    <n v="47177000"/>
    <n v="142.86000000000001"/>
    <n v="3028"/>
    <n v="5655000"/>
    <n v="0.915776774943032"/>
    <n v="8.4223225056967971E-2"/>
  </r>
  <r>
    <d v="2013-03-01T00:00:00"/>
    <x v="11"/>
    <x v="2"/>
    <n v="1"/>
    <n v="58044000"/>
    <n v="51778000"/>
    <n v="53612000"/>
    <n v="30466000"/>
    <n v="23146000"/>
    <n v="180140998"/>
    <n v="45862000"/>
    <n v="135.03"/>
    <n v="2944"/>
    <n v="41137000"/>
    <n v="126.03"/>
    <n v="3054"/>
    <n v="4432000"/>
    <n v="0.92364413203776441"/>
    <n v="7.6355867962235549E-2"/>
  </r>
  <r>
    <d v="2013-02-22T00:00:00"/>
    <x v="11"/>
    <x v="3"/>
    <n v="22"/>
    <n v="49448000"/>
    <n v="42837000"/>
    <n v="46149000"/>
    <n v="25618000"/>
    <n v="20531000"/>
    <n v="155167572"/>
    <n v="38042000"/>
    <n v="113.74"/>
    <n v="2990"/>
    <n v="34618000"/>
    <n v="107.23"/>
    <n v="3097"/>
    <n v="3299000"/>
    <n v="0.9332834492800518"/>
    <n v="6.6716550719948226E-2"/>
  </r>
  <r>
    <d v="2013-02-15T00:00:00"/>
    <x v="11"/>
    <x v="3"/>
    <n v="15"/>
    <n v="39531000"/>
    <n v="30762000"/>
    <n v="37112000"/>
    <n v="20028000"/>
    <n v="17084000"/>
    <n v="123945553"/>
    <n v="27100000"/>
    <n v="81.86"/>
    <n v="3021"/>
    <n v="24957000"/>
    <n v="77.89"/>
    <n v="3121"/>
    <n v="2419000"/>
    <n v="0.93880751815031238"/>
    <n v="6.1192481849687584E-2"/>
  </r>
  <r>
    <d v="2013-02-08T00:00:00"/>
    <x v="11"/>
    <x v="3"/>
    <n v="8"/>
    <n v="26589000"/>
    <n v="18811000"/>
    <n v="25121000"/>
    <n v="13456000"/>
    <n v="11665000"/>
    <n v="90706865"/>
    <n v="16424000"/>
    <n v="52.06"/>
    <n v="3170"/>
    <n v="15457000"/>
    <n v="50.21"/>
    <n v="3249"/>
    <n v="1468000"/>
    <n v="0.94478919854074994"/>
    <n v="5.5210801459250065E-2"/>
  </r>
  <r>
    <d v="2012-12-28T00:00:00"/>
    <x v="12"/>
    <x v="4"/>
    <n v="28"/>
    <n v="148203000"/>
    <n v="147697000"/>
    <n v="119560000"/>
    <n v="76322000"/>
    <n v="43238000"/>
    <n v="373854200"/>
    <n v="110471000"/>
    <n v="309.64999999999998"/>
    <n v="2803"/>
    <n v="82809000"/>
    <n v="247.13"/>
    <n v="2984"/>
    <n v="28643000"/>
    <n v="0.8067313077333117"/>
    <n v="0.19326869226668825"/>
  </r>
  <r>
    <d v="2012-11-23T00:00:00"/>
    <x v="12"/>
    <x v="7"/>
    <n v="23"/>
    <n v="147874000"/>
    <n v="147284000"/>
    <n v="119560000"/>
    <n v="76322000"/>
    <n v="43238000"/>
    <n v="353974215"/>
    <n v="110224000"/>
    <n v="307.98"/>
    <n v="2794"/>
    <n v="82735000"/>
    <n v="246.66"/>
    <n v="2981"/>
    <n v="28314000"/>
    <n v="0.80852617769181867"/>
    <n v="0.1914738223081813"/>
  </r>
  <r>
    <d v="2012-06-08T00:00:00"/>
    <x v="12"/>
    <x v="6"/>
    <n v="8"/>
    <n v="137200000"/>
    <n v="135097000"/>
    <n v="113074000"/>
    <n v="71017000"/>
    <n v="42056000"/>
    <n v="270997037"/>
    <n v="104486000"/>
    <n v="282.81"/>
    <n v="2707"/>
    <n v="80152000"/>
    <n v="234.57"/>
    <n v="2927"/>
    <n v="24126000"/>
    <n v="0.82415451895043734"/>
    <n v="0.17584548104956269"/>
  </r>
  <r>
    <d v="2012-05-11T00:00:00"/>
    <x v="12"/>
    <x v="0"/>
    <n v="11"/>
    <n v="135473000"/>
    <n v="130261000"/>
    <n v="112089000"/>
    <n v="70344000"/>
    <n v="41745000"/>
    <n v="255269615"/>
    <n v="102522000"/>
    <n v="277.18"/>
    <n v="2704"/>
    <n v="79308000"/>
    <n v="231.66"/>
    <n v="2921"/>
    <n v="23384000"/>
    <n v="0.8273899596229507"/>
    <n v="0.1726100403770493"/>
  </r>
  <r>
    <d v="2012-05-04T00:00:00"/>
    <x v="12"/>
    <x v="0"/>
    <n v="4"/>
    <n v="134623000"/>
    <n v="128532000"/>
    <n v="111769000"/>
    <n v="70130000"/>
    <n v="41639000"/>
    <n v="250654312"/>
    <n v="101171000"/>
    <n v="273.93"/>
    <n v="2708"/>
    <n v="78794000"/>
    <n v="230.16"/>
    <n v="2921"/>
    <n v="22854000"/>
    <n v="0.83023703230502965"/>
    <n v="0.1697629676949704"/>
  </r>
  <r>
    <d v="2012-04-27T00:00:00"/>
    <x v="12"/>
    <x v="1"/>
    <n v="27"/>
    <n v="133530000"/>
    <n v="126306000"/>
    <n v="111395000"/>
    <n v="69894000"/>
    <n v="41501000"/>
    <n v="245261101"/>
    <n v="99104000"/>
    <n v="269.14"/>
    <n v="2716"/>
    <n v="78007000"/>
    <n v="227.99"/>
    <n v="2923"/>
    <n v="22135000"/>
    <n v="0.83423200778851192"/>
    <n v="0.16576799221148805"/>
  </r>
  <r>
    <d v="2012-04-20T00:00:00"/>
    <x v="12"/>
    <x v="1"/>
    <n v="20"/>
    <n v="130873000"/>
    <n v="123332000"/>
    <n v="110883000"/>
    <n v="69606000"/>
    <n v="41277000"/>
    <n v="238757166"/>
    <n v="95033000"/>
    <n v="257.27"/>
    <n v="2707"/>
    <n v="75726000"/>
    <n v="220.36"/>
    <n v="2910"/>
    <n v="19990000"/>
    <n v="0.84725650057689517"/>
    <n v="0.15274349942310483"/>
  </r>
  <r>
    <d v="2012-04-13T00:00:00"/>
    <x v="12"/>
    <x v="1"/>
    <n v="13"/>
    <n v="110862000"/>
    <n v="105668000"/>
    <n v="95943000"/>
    <n v="60631000"/>
    <n v="35312000"/>
    <n v="223158096"/>
    <n v="86078000"/>
    <n v="237.75"/>
    <n v="2762"/>
    <n v="69667000"/>
    <n v="206.09"/>
    <n v="2958"/>
    <n v="14919000"/>
    <n v="0.86542728797965041"/>
    <n v="0.13457271202034962"/>
  </r>
  <r>
    <d v="2012-04-06T00:00:00"/>
    <x v="12"/>
    <x v="1"/>
    <n v="6"/>
    <n v="99979000"/>
    <n v="96556000"/>
    <n v="87293000"/>
    <n v="54664000"/>
    <n v="32630000"/>
    <n v="209805368"/>
    <n v="80421000"/>
    <n v="224.71"/>
    <n v="2794"/>
    <n v="65907000"/>
    <n v="196.63"/>
    <n v="2983"/>
    <n v="12686000"/>
    <n v="0.87311335380429889"/>
    <n v="0.12688664619570109"/>
  </r>
  <r>
    <d v="2012-03-30T00:00:00"/>
    <x v="12"/>
    <x v="2"/>
    <n v="30"/>
    <n v="91900000"/>
    <n v="89049000"/>
    <n v="80792000"/>
    <n v="50042000"/>
    <n v="30751000"/>
    <n v="189543899"/>
    <n v="75292000"/>
    <n v="212.79"/>
    <n v="2826"/>
    <n v="62493000"/>
    <n v="187.88"/>
    <n v="3006"/>
    <n v="11108000"/>
    <n v="0.87912948857453754"/>
    <n v="0.12087051142546246"/>
  </r>
  <r>
    <d v="2012-03-23T00:00:00"/>
    <x v="12"/>
    <x v="2"/>
    <n v="23"/>
    <n v="84918000"/>
    <n v="81984000"/>
    <n v="75091000"/>
    <n v="45945000"/>
    <n v="29146000"/>
    <n v="179683890"/>
    <n v="70247000"/>
    <n v="200.91"/>
    <n v="2860"/>
    <n v="59082000"/>
    <n v="179.04"/>
    <n v="3030"/>
    <n v="9827000"/>
    <n v="0.88427659624579003"/>
    <n v="0.11572340375420995"/>
  </r>
  <r>
    <d v="2012-03-16T00:00:00"/>
    <x v="12"/>
    <x v="2"/>
    <n v="16"/>
    <n v="78348000"/>
    <n v="75284000"/>
    <n v="69675000"/>
    <n v="42111000"/>
    <n v="27564000"/>
    <n v="167038289"/>
    <n v="65073000"/>
    <n v="188.62"/>
    <n v="2899"/>
    <n v="55557000"/>
    <n v="169.75"/>
    <n v="3055"/>
    <n v="8673000"/>
    <n v="0.88930157757696426"/>
    <n v="0.11069842242303568"/>
  </r>
  <r>
    <d v="2012-03-09T00:00:00"/>
    <x v="12"/>
    <x v="2"/>
    <n v="9"/>
    <n v="71567000"/>
    <n v="68074000"/>
    <n v="64068000"/>
    <n v="38189000"/>
    <n v="25879000"/>
    <n v="167038289"/>
    <n v="59239000"/>
    <n v="174.4"/>
    <n v="2944"/>
    <n v="51392000"/>
    <n v="158.62"/>
    <n v="3086"/>
    <n v="7499000"/>
    <n v="0.8952170693196585"/>
    <n v="0.1047829306803415"/>
  </r>
  <r>
    <d v="2012-03-02T00:00:00"/>
    <x v="12"/>
    <x v="2"/>
    <n v="2"/>
    <n v="64265000"/>
    <n v="59561000"/>
    <n v="57981000"/>
    <n v="34026000"/>
    <n v="23955000"/>
    <n v="139202456"/>
    <n v="52399000"/>
    <n v="157.59"/>
    <n v="3007"/>
    <n v="46265000"/>
    <n v="144.97"/>
    <n v="3133"/>
    <n v="6284000"/>
    <n v="0.90221738115615036"/>
    <n v="9.7782618843849686E-2"/>
  </r>
  <r>
    <d v="2011-12-30T00:00:00"/>
    <x v="13"/>
    <x v="4"/>
    <n v="30"/>
    <n v="145320000"/>
    <n v="145062000"/>
    <n v="112203000"/>
    <n v="72426000"/>
    <n v="39777000"/>
    <n v="322540490"/>
    <n v="109337000"/>
    <n v="318.52999999999997"/>
    <n v="2913"/>
    <n v="79146000"/>
    <n v="246.08"/>
    <n v="3109"/>
    <n v="33117000"/>
    <n v="0.77210982658959537"/>
    <n v="0.22789017341040463"/>
  </r>
  <r>
    <d v="2011-06-10T00:00:00"/>
    <x v="13"/>
    <x v="6"/>
    <n v="10"/>
    <n v="134276000"/>
    <n v="133456000"/>
    <n v="106432000"/>
    <n v="68097000"/>
    <n v="38335000"/>
    <n v="226296316"/>
    <n v="103144000"/>
    <n v="289.33999999999997"/>
    <n v="2805"/>
    <n v="76434000"/>
    <n v="232.91"/>
    <n v="3047"/>
    <n v="27844000"/>
    <n v="0.79263606303434719"/>
    <n v="0.20736393696565283"/>
  </r>
  <r>
    <d v="2011-06-03T00:00:00"/>
    <x v="13"/>
    <x v="6"/>
    <n v="3"/>
    <n v="133808000"/>
    <n v="132530000"/>
    <n v="106233000"/>
    <n v="67962000"/>
    <n v="38272000"/>
    <n v="223723476"/>
    <n v="102728000"/>
    <n v="288.14999999999998"/>
    <n v="2805"/>
    <n v="76276000"/>
    <n v="232.31"/>
    <n v="3046"/>
    <n v="27575000"/>
    <n v="0.79392114073896924"/>
    <n v="0.20607885926103073"/>
  </r>
  <r>
    <d v="2011-05-13T00:00:00"/>
    <x v="13"/>
    <x v="0"/>
    <n v="13"/>
    <n v="132433000"/>
    <n v="128697000"/>
    <n v="105553000"/>
    <n v="67470000"/>
    <n v="38083000"/>
    <n v="213755988"/>
    <n v="101097000"/>
    <n v="284.08"/>
    <n v="2810"/>
    <n v="75701000"/>
    <n v="230.33"/>
    <n v="3043"/>
    <n v="26880000"/>
    <n v="0.79702944130239439"/>
    <n v="0.20297055869760558"/>
  </r>
  <r>
    <d v="2011-05-06T00:00:00"/>
    <x v="13"/>
    <x v="0"/>
    <n v="6"/>
    <n v="131828000"/>
    <n v="126507000"/>
    <n v="105277000"/>
    <n v="67303000"/>
    <n v="37974000"/>
    <n v="209783439"/>
    <n v="100252000"/>
    <n v="281.83999999999997"/>
    <n v="2811"/>
    <n v="75374000"/>
    <n v="229.23"/>
    <n v="3041"/>
    <n v="26551000"/>
    <n v="0.798593621992293"/>
    <n v="0.201406378007707"/>
  </r>
  <r>
    <d v="2011-04-29T00:00:00"/>
    <x v="13"/>
    <x v="1"/>
    <n v="29"/>
    <n v="130692000"/>
    <n v="123800000"/>
    <n v="104936000"/>
    <n v="67082000"/>
    <n v="37854000"/>
    <n v="204221980"/>
    <n v="98213000"/>
    <n v="277.14999999999998"/>
    <n v="2822"/>
    <n v="74653000"/>
    <n v="227.21"/>
    <n v="3044"/>
    <n v="25756000"/>
    <n v="0.80292596333363941"/>
    <n v="0.19707403666636061"/>
  </r>
  <r>
    <d v="2011-04-22T00:00:00"/>
    <x v="13"/>
    <x v="1"/>
    <n v="22"/>
    <n v="128559000"/>
    <n v="120279000"/>
    <n v="104516000"/>
    <n v="66842000"/>
    <n v="37673000"/>
    <n v="198745670"/>
    <n v="95745000"/>
    <n v="271.33"/>
    <n v="2834"/>
    <n v="73759000"/>
    <n v="224.63"/>
    <n v="3045"/>
    <n v="24043000"/>
    <n v="0.81298081036722436"/>
    <n v="0.18701918963277561"/>
  </r>
  <r>
    <d v="2011-04-15T00:00:00"/>
    <x v="13"/>
    <x v="1"/>
    <n v="15"/>
    <n v="111563000"/>
    <n v="107401000"/>
    <n v="93578000"/>
    <n v="60399000"/>
    <n v="33179000"/>
    <n v="184409608"/>
    <n v="88157000"/>
    <n v="252.6"/>
    <n v="2865"/>
    <n v="69030000"/>
    <n v="212.19"/>
    <n v="3074"/>
    <n v="17985000"/>
    <n v="0.83879063847332902"/>
    <n v="0.16120936152667104"/>
  </r>
  <r>
    <d v="2011-04-08T00:00:00"/>
    <x v="13"/>
    <x v="1"/>
    <n v="8"/>
    <n v="97029000"/>
    <n v="96153000"/>
    <n v="83656000"/>
    <n v="53652000"/>
    <n v="30004000"/>
    <n v="169633414"/>
    <n v="80874000"/>
    <n v="234.16"/>
    <n v="2895"/>
    <n v="64343000"/>
    <n v="199.49"/>
    <n v="3100"/>
    <n v="13373000"/>
    <n v="0.86217522596337182"/>
    <n v="0.13782477403662821"/>
  </r>
  <r>
    <d v="2011-04-01T00:00:00"/>
    <x v="13"/>
    <x v="1"/>
    <n v="1"/>
    <n v="89719000"/>
    <n v="87595000"/>
    <n v="76901000"/>
    <n v="48867000"/>
    <n v="28034000"/>
    <n v="158852544"/>
    <n v="75227000"/>
    <n v="219.79"/>
    <n v="2922"/>
    <n v="60700000"/>
    <n v="189.39"/>
    <n v="3120"/>
    <n v="12818000"/>
    <n v="0.85713171123173459"/>
    <n v="0.14286828876826535"/>
  </r>
  <r>
    <d v="2011-03-25T00:00:00"/>
    <x v="13"/>
    <x v="2"/>
    <n v="25"/>
    <n v="82281000"/>
    <n v="80318000"/>
    <n v="71072000"/>
    <n v="44717000"/>
    <n v="26355000"/>
    <n v="151305611"/>
    <n v="69955000"/>
    <n v="206.48"/>
    <n v="2952"/>
    <n v="57251000"/>
    <n v="179.83"/>
    <n v="3141"/>
    <n v="11209000"/>
    <n v="0.86377170914305856"/>
    <n v="0.13622829085694146"/>
  </r>
  <r>
    <d v="2011-03-18T00:00:00"/>
    <x v="13"/>
    <x v="2"/>
    <n v="18"/>
    <n v="74361000"/>
    <n v="73342000"/>
    <n v="64628000"/>
    <n v="40078000"/>
    <n v="24550000"/>
    <n v="138980918"/>
    <n v="64672000"/>
    <n v="193.06"/>
    <n v="2985"/>
    <n v="53736000"/>
    <n v="170.01"/>
    <n v="3164"/>
    <n v="9733000"/>
    <n v="0.86911149661785081"/>
    <n v="0.13088850338214925"/>
  </r>
  <r>
    <d v="2011-03-11T00:00:00"/>
    <x v="13"/>
    <x v="2"/>
    <n v="11"/>
    <n v="68195000"/>
    <n v="66159000"/>
    <n v="59948000"/>
    <n v="36840000"/>
    <n v="23108000"/>
    <n v="131128908"/>
    <n v="59005000"/>
    <n v="178.36"/>
    <n v="3023"/>
    <n v="49896000"/>
    <n v="159.08000000000001"/>
    <n v="3188"/>
    <n v="8247000"/>
    <n v="0.87906738030647413"/>
    <n v="0.12093261969352592"/>
  </r>
  <r>
    <d v="2011-03-04T00:00:00"/>
    <x v="13"/>
    <x v="2"/>
    <n v="4"/>
    <n v="60536000"/>
    <n v="58282000"/>
    <n v="53863000"/>
    <n v="32680000"/>
    <n v="21182000"/>
    <n v="119793481"/>
    <n v="52564000"/>
    <n v="161.35"/>
    <n v="3070"/>
    <n v="45357000"/>
    <n v="145.97"/>
    <n v="3218"/>
    <n v="6673000"/>
    <n v="0.88976807189110607"/>
    <n v="0.11023192810889389"/>
  </r>
  <r>
    <d v="2011-02-25T00:00:00"/>
    <x v="13"/>
    <x v="3"/>
    <n v="25"/>
    <n v="51927000"/>
    <n v="49278000"/>
    <n v="46868000"/>
    <n v="27983000"/>
    <n v="18885000"/>
    <n v="107028830"/>
    <n v="45077000"/>
    <n v="141.05000000000001"/>
    <n v="3129"/>
    <n v="39821000"/>
    <n v="129.68"/>
    <n v="3257"/>
    <n v="5059000"/>
    <n v="0.90257476842490414"/>
    <n v="9.7425231575095805E-2"/>
  </r>
  <r>
    <d v="2010-12-31T00:00:00"/>
    <x v="14"/>
    <x v="4"/>
    <n v="31"/>
    <n v="142449000"/>
    <n v="142196000"/>
    <n v="98740000"/>
    <n v="63893000"/>
    <n v="34848000"/>
    <n v="307466046"/>
    <n v="109376000"/>
    <n v="328.44"/>
    <n v="3003"/>
    <n v="74590000"/>
    <n v="238.05"/>
    <n v="3191"/>
    <n v="43709000"/>
    <n v="0.69316035914608032"/>
    <n v="0.30683964085391963"/>
  </r>
  <r>
    <d v="2010-10-15T00:00:00"/>
    <x v="14"/>
    <x v="5"/>
    <n v="15"/>
    <n v="138967000"/>
    <n v="138357000"/>
    <n v="97788000"/>
    <n v="63084000"/>
    <n v="34703000"/>
    <n v="272388327"/>
    <n v="107724000"/>
    <n v="315.86"/>
    <n v="2932"/>
    <n v="73078000"/>
    <n v="234.82"/>
    <n v="3170"/>
    <n v="41179000"/>
    <n v="0.70367785157627349"/>
    <n v="0.29632214842372651"/>
  </r>
  <r>
    <d v="2010-06-04T00:00:00"/>
    <x v="14"/>
    <x v="6"/>
    <n v="4"/>
    <n v="132050000"/>
    <n v="129054000"/>
    <n v="94604000"/>
    <n v="60607000"/>
    <n v="33998000"/>
    <n v="213744014"/>
    <n v="101820000"/>
    <n v="293.26"/>
    <n v="2880"/>
    <n v="72056000"/>
    <n v="226.06"/>
    <n v="3137"/>
    <n v="37446000"/>
    <n v="0.71642559636501324"/>
    <n v="0.28357440363498676"/>
  </r>
  <r>
    <d v="2010-05-14T00:00:00"/>
    <x v="14"/>
    <x v="0"/>
    <n v="14"/>
    <n v="130684000"/>
    <n v="123759000"/>
    <n v="94070000"/>
    <n v="60212000"/>
    <n v="33858000"/>
    <n v="202911715"/>
    <n v="99758000"/>
    <n v="287.77"/>
    <n v="2885"/>
    <n v="71463000"/>
    <n v="223.75"/>
    <n v="3131"/>
    <n v="36614000"/>
    <n v="0.7198279820023874"/>
    <n v="0.28017201799761254"/>
  </r>
  <r>
    <d v="2010-05-07T00:00:00"/>
    <x v="14"/>
    <x v="0"/>
    <n v="7"/>
    <n v="129981000"/>
    <n v="120897000"/>
    <n v="93752000"/>
    <n v="59990000"/>
    <n v="33762000"/>
    <n v="198557847"/>
    <n v="98709000"/>
    <n v="284.62"/>
    <n v="2883"/>
    <n v="71103000"/>
    <n v="222.51"/>
    <n v="3129"/>
    <n v="36229000"/>
    <n v="0.72127464783314488"/>
    <n v="0.27872535216685518"/>
  </r>
  <r>
    <d v="2010-04-30T00:00:00"/>
    <x v="14"/>
    <x v="1"/>
    <n v="30"/>
    <n v="129268000"/>
    <n v="118044000"/>
    <n v="93460000"/>
    <n v="59784000"/>
    <n v="33677000"/>
    <n v="194083748"/>
    <n v="96292000"/>
    <n v="277.98"/>
    <n v="2887"/>
    <n v="70332000"/>
    <n v="220.04"/>
    <n v="3129"/>
    <n v="35808000"/>
    <n v="0.72299408979793911"/>
    <n v="0.27700591020206083"/>
  </r>
  <r>
    <d v="2010-04-23T00:00:00"/>
    <x v="14"/>
    <x v="1"/>
    <n v="23"/>
    <n v="128046000"/>
    <n v="114065000"/>
    <n v="93114000"/>
    <n v="59539000"/>
    <n v="33576000"/>
    <n v="188929114"/>
    <n v="93289000"/>
    <n v="269.76"/>
    <n v="2892"/>
    <n v="69302000"/>
    <n v="216.68"/>
    <n v="3127"/>
    <n v="34932000"/>
    <n v="0.72719179045030691"/>
    <n v="0.27280820954969309"/>
  </r>
  <r>
    <d v="2010-04-09T00:00:00"/>
    <x v="14"/>
    <x v="1"/>
    <n v="9"/>
    <n v="98802000"/>
    <n v="93205000"/>
    <n v="77395000"/>
    <n v="50070000"/>
    <n v="27325000"/>
    <n v="162235522"/>
    <n v="79705000"/>
    <n v="234.31"/>
    <n v="2940"/>
    <n v="61428000"/>
    <n v="194.81"/>
    <n v="3171"/>
    <n v="21407000"/>
    <n v="0.78333434545859393"/>
    <n v="0.21666565454140604"/>
  </r>
  <r>
    <d v="2010-04-02T00:00:00"/>
    <x v="14"/>
    <x v="1"/>
    <n v="2"/>
    <n v="89970000"/>
    <n v="85221000"/>
    <n v="71628000"/>
    <n v="45981000"/>
    <n v="25647000"/>
    <n v="152055000"/>
    <n v="74115000"/>
    <n v="219.37"/>
    <n v="2960"/>
    <n v="58137000"/>
    <n v="185.24"/>
    <n v="3186"/>
    <n v="18342000"/>
    <n v="0.79613204401467152"/>
    <n v="0.20386795598532845"/>
  </r>
  <r>
    <d v="2010-03-26T00:00:00"/>
    <x v="14"/>
    <x v="2"/>
    <n v="26"/>
    <n v="82533000"/>
    <n v="77812000"/>
    <n v="66542000"/>
    <n v="42354000"/>
    <n v="24188000"/>
    <n v="141109467"/>
    <n v="68587000"/>
    <n v="204.26"/>
    <n v="2978"/>
    <n v="54738000"/>
    <n v="175.04"/>
    <n v="3198"/>
    <n v="15991000"/>
    <n v="0.80624719809046075"/>
    <n v="0.19375280190953922"/>
  </r>
  <r>
    <d v="2010-03-19T00:00:00"/>
    <x v="14"/>
    <x v="2"/>
    <n v="19"/>
    <n v="75561000"/>
    <n v="70948000"/>
    <n v="61650000"/>
    <n v="38898000"/>
    <n v="22752000"/>
    <n v="130831659"/>
    <n v="63255000"/>
    <n v="190.03"/>
    <n v="3004"/>
    <n v="51392000"/>
    <n v="165.16"/>
    <n v="3214"/>
    <n v="13911000"/>
    <n v="0.81589708976853137"/>
    <n v="0.1841029102314686"/>
  </r>
  <r>
    <d v="2010-03-12T00:00:00"/>
    <x v="14"/>
    <x v="2"/>
    <n v="12"/>
    <n v="68743000"/>
    <n v="64294000"/>
    <n v="56802000"/>
    <n v="35510000"/>
    <n v="21293000"/>
    <n v="120071838"/>
    <n v="57779000"/>
    <n v="175.42"/>
    <n v="3036"/>
    <n v="47893000"/>
    <n v="154.80000000000001"/>
    <n v="3232"/>
    <n v="11941000"/>
    <n v="0.82629504094962392"/>
    <n v="0.17370495905037603"/>
  </r>
  <r>
    <d v="2010-03-05T00:00:00"/>
    <x v="14"/>
    <x v="2"/>
    <n v="5"/>
    <n v="61287000"/>
    <n v="57211000"/>
    <n v="51600000"/>
    <n v="31880000"/>
    <n v="19720000"/>
    <n v="109663929"/>
    <n v="51980000"/>
    <n v="160.19"/>
    <n v="3082"/>
    <n v="44032000"/>
    <n v="143.6"/>
    <n v="3261"/>
    <n v="9687000"/>
    <n v="0.84194037887317053"/>
    <n v="0.1580596211268295"/>
  </r>
  <r>
    <d v="2010-02-26T00:00:00"/>
    <x v="14"/>
    <x v="3"/>
    <n v="26"/>
    <n v="53556000"/>
    <n v="49751000"/>
    <n v="45873000"/>
    <n v="28048000"/>
    <n v="17826000"/>
    <n v="98691224"/>
    <n v="45544000"/>
    <n v="143.41999999999999"/>
    <n v="3149"/>
    <n v="39569000"/>
    <n v="130.77000000000001"/>
    <n v="3305"/>
    <n v="7683000"/>
    <n v="0.85654268429307645"/>
    <n v="0.1434573157069236"/>
  </r>
  <r>
    <d v="2009-12-31T00:00:00"/>
    <x v="15"/>
    <x v="4"/>
    <n v="31"/>
    <n v="144360000"/>
    <n v="144132000"/>
    <n v="95478000"/>
    <n v="63285000"/>
    <n v="32193000"/>
    <n v="290132363"/>
    <n v="111721000"/>
    <n v="319.41000000000003"/>
    <n v="2859"/>
    <n v="73112000"/>
    <n v="220.99"/>
    <n v="3023"/>
    <n v="48882000"/>
    <n v="0.66138819617622613"/>
    <n v="0.33861180382377387"/>
  </r>
  <r>
    <d v="2009-10-16T00:00:00"/>
    <x v="15"/>
    <x v="5"/>
    <n v="16"/>
    <n v="141376000"/>
    <n v="140718000"/>
    <n v="94980000"/>
    <n v="62858000"/>
    <n v="32122000"/>
    <n v="266476336"/>
    <n v="110071000"/>
    <n v="303.07"/>
    <n v="2753"/>
    <n v="72717000"/>
    <n v="217.92"/>
    <n v="2997"/>
    <n v="46396000"/>
    <n v="0.67182548664554098"/>
    <n v="0.32817451335445902"/>
  </r>
  <r>
    <d v="2009-05-01T00:00:00"/>
    <x v="15"/>
    <x v="0"/>
    <n v="1"/>
    <n v="131560000"/>
    <n v="120965000"/>
    <n v="90935000"/>
    <n v="59617000"/>
    <n v="31318000"/>
    <n v="195382106"/>
    <n v="99896000"/>
    <n v="267.12"/>
    <n v="2674"/>
    <n v="69577000"/>
    <n v="204.96"/>
    <n v="2946"/>
    <n v="40625000"/>
    <n v="0.6912055335968379"/>
    <n v="0.30879446640316205"/>
  </r>
  <r>
    <d v="2009-04-24T00:00:00"/>
    <x v="15"/>
    <x v="1"/>
    <n v="24"/>
    <n v="131543000"/>
    <n v="117014000"/>
    <n v="90639000"/>
    <n v="59418000"/>
    <n v="31221000"/>
    <n v="190609211"/>
    <n v="96673000"/>
    <n v="257.39999999999998"/>
    <n v="2663"/>
    <n v="68647000"/>
    <n v="202.4"/>
    <n v="2948"/>
    <n v="40904000"/>
    <n v="0.68904464699755974"/>
    <n v="0.31095535300244026"/>
  </r>
  <r>
    <d v="2009-04-10T00:00:00"/>
    <x v="15"/>
    <x v="1"/>
    <n v="10"/>
    <n v="101892000"/>
    <n v="97425000"/>
    <n v="77003000"/>
    <n v="51169000"/>
    <n v="25834000"/>
    <n v="167850189"/>
    <n v="83642000"/>
    <n v="225.35"/>
    <n v="2694"/>
    <n v="61622000"/>
    <n v="182.77"/>
    <n v="2966"/>
    <n v="24889000"/>
    <n v="0.75573155890550781"/>
    <n v="0.24426844109449219"/>
  </r>
  <r>
    <d v="2009-04-03T00:00:00"/>
    <x v="15"/>
    <x v="1"/>
    <n v="3"/>
    <n v="92292000"/>
    <n v="89215000"/>
    <n v="70907000"/>
    <n v="46861000"/>
    <n v="24046000"/>
    <n v="156825000"/>
    <n v="77720000"/>
    <n v="210.24"/>
    <n v="2705"/>
    <n v="58294000"/>
    <n v="173.41"/>
    <n v="2975"/>
    <n v="21385000"/>
    <n v="0.7682897759285745"/>
    <n v="0.2317102240714254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d v="2024-05-10T00:00:00"/>
    <x v="0"/>
    <n v="5"/>
    <n v="10"/>
    <n v="144018000"/>
    <n v="141317000"/>
    <n v="137394000"/>
    <n v="73531000"/>
    <n v="63864000"/>
    <n v="623409000"/>
    <n v="93940000"/>
    <n v="269.49"/>
    <n v="2869"/>
    <n v="86665000"/>
    <n v="256.56"/>
    <n v="2960"/>
    <n v="6624000"/>
    <n v="0.95400574928133985"/>
    <n v="4.5994250718660167E-2"/>
  </r>
  <r>
    <x v="0"/>
    <d v="2024-05-03T00:00:00"/>
    <x v="0"/>
    <n v="5"/>
    <n v="3"/>
    <n v="142814000"/>
    <n v="139946000"/>
    <n v="136642000"/>
    <n v="72920000"/>
    <n v="63722000"/>
    <n v="608730000"/>
    <n v="92878000"/>
    <n v="265.98"/>
    <n v="2864"/>
    <n v="85844000"/>
    <n v="253.73"/>
    <n v="2956"/>
    <n v="6172000"/>
    <n v="0.95678294845043199"/>
    <n v="4.3217051549567967E-2"/>
  </r>
  <r>
    <x v="1"/>
    <d v="2024-04-26T00:00:00"/>
    <x v="0"/>
    <n v="4"/>
    <n v="26"/>
    <n v="141363000"/>
    <n v="138356000"/>
    <n v="135724000"/>
    <n v="72201000"/>
    <n v="63523000"/>
    <n v="591742000"/>
    <n v="91359000"/>
    <n v="260.56"/>
    <n v="2852"/>
    <n v="84661000"/>
    <n v="249.31"/>
    <n v="2945"/>
    <n v="5639000"/>
    <n v="0.96010978827557425"/>
    <n v="3.9890211724425771E-2"/>
  </r>
  <r>
    <x v="1"/>
    <d v="2024-04-19T00:00:00"/>
    <x v="0"/>
    <n v="4"/>
    <n v="19"/>
    <n v="139137000"/>
    <n v="136069000"/>
    <n v="134531000"/>
    <n v="71327000"/>
    <n v="63204000"/>
    <n v="571496000"/>
    <n v="86058000"/>
    <n v="245.23"/>
    <n v="2850"/>
    <n v="80028000"/>
    <n v="235.82"/>
    <n v="2947"/>
    <n v="4606000"/>
    <n v="0.96689593709796817"/>
    <n v="3.3104062902031807E-2"/>
  </r>
  <r>
    <x v="1"/>
    <d v="2024-04-12T00:00:00"/>
    <x v="0"/>
    <n v="4"/>
    <n v="12"/>
    <n v="119592000"/>
    <n v="118114000"/>
    <n v="115734000"/>
    <n v="63318000"/>
    <n v="52416000"/>
    <n v="533981000"/>
    <n v="74685000"/>
    <n v="220.15"/>
    <n v="2948"/>
    <n v="70369000"/>
    <n v="213.29"/>
    <n v="3031"/>
    <n v="3858000"/>
    <n v="0.9677403170780654"/>
    <n v="3.2259682921934575E-2"/>
  </r>
  <r>
    <x v="1"/>
    <d v="2024-04-05T00:00:00"/>
    <x v="0"/>
    <n v="4"/>
    <n v="5"/>
    <n v="101849000"/>
    <n v="100110000"/>
    <n v="98421000"/>
    <n v="53157000"/>
    <n v="45264000"/>
    <n v="497397000"/>
    <n v="66799000"/>
    <n v="201.12"/>
    <n v="3011"/>
    <n v="63445000"/>
    <n v="195.9"/>
    <n v="3088"/>
    <n v="3428000"/>
    <n v="0.96634233031252148"/>
    <n v="3.365766968747852E-2"/>
  </r>
  <r>
    <x v="2"/>
    <d v="2024-03-29T00:00:00"/>
    <x v="0"/>
    <n v="3"/>
    <n v="29"/>
    <n v="90315000"/>
    <n v="88800000"/>
    <n v="87369000"/>
    <n v="46302000"/>
    <n v="41068000"/>
    <n v="467978000"/>
    <n v="60858000"/>
    <n v="185.64"/>
    <n v="3050"/>
    <n v="58126000"/>
    <n v="181.61"/>
    <n v="3124"/>
    <n v="2946000"/>
    <n v="0.96738083374854678"/>
    <n v="3.2619166251453245E-2"/>
  </r>
  <r>
    <x v="2"/>
    <d v="2024-03-22T00:00:00"/>
    <x v="0"/>
    <n v="3"/>
    <n v="22"/>
    <n v="80470000"/>
    <n v="79243000"/>
    <n v="78023000"/>
    <n v="40311000"/>
    <n v="37713000"/>
    <n v="441085000"/>
    <n v="54990000"/>
    <n v="169.41"/>
    <n v="3081"/>
    <n v="52795000"/>
    <n v="166.42"/>
    <n v="3152"/>
    <n v="2447000"/>
    <n v="0.9695911519821051"/>
    <n v="3.0408848017894868E-2"/>
  </r>
  <r>
    <x v="2"/>
    <d v="2024-03-15T00:00:00"/>
    <x v="0"/>
    <n v="3"/>
    <n v="15"/>
    <n v="71587000"/>
    <n v="70569000"/>
    <n v="69543000"/>
    <n v="34880000"/>
    <n v="34664000"/>
    <n v="411961000"/>
    <n v="49145000"/>
    <n v="152.77000000000001"/>
    <n v="3109"/>
    <n v="47425000"/>
    <n v="150.66999999999999"/>
    <n v="3177"/>
    <n v="2044000"/>
    <n v="0.97144732982245374"/>
    <n v="2.8552670177546202E-2"/>
  </r>
  <r>
    <x v="2"/>
    <d v="2024-03-08T00:00:00"/>
    <x v="0"/>
    <n v="3"/>
    <n v="8"/>
    <n v="62761000"/>
    <n v="61877000"/>
    <n v="61165000"/>
    <n v="29644000"/>
    <n v="31521000"/>
    <n v="376622000"/>
    <n v="43020000"/>
    <n v="135.28"/>
    <n v="3145"/>
    <n v="41719000"/>
    <n v="133.9"/>
    <n v="3209"/>
    <n v="1596000"/>
    <n v="0.97457019486623864"/>
    <n v="2.5429805133761411E-2"/>
  </r>
  <r>
    <x v="2"/>
    <d v="2024-03-01T00:00:00"/>
    <x v="0"/>
    <n v="3"/>
    <n v="1"/>
    <n v="54030000"/>
    <n v="53231000"/>
    <n v="52795000"/>
    <n v="24516000"/>
    <n v="28279000"/>
    <n v="337328000"/>
    <n v="36288000"/>
    <n v="115.47"/>
    <n v="3182"/>
    <n v="35369000"/>
    <n v="114.74"/>
    <n v="3244"/>
    <n v="1235000"/>
    <n v="0.97714232833610959"/>
    <n v="2.2857671663890432E-2"/>
  </r>
  <r>
    <x v="3"/>
    <d v="2024-02-23T00:00:00"/>
    <x v="0"/>
    <n v="2"/>
    <n v="23"/>
    <n v="44584000"/>
    <n v="44073000"/>
    <n v="43661000"/>
    <n v="19290000"/>
    <n v="24371000"/>
    <n v="292164000"/>
    <n v="28945000"/>
    <n v="92.99"/>
    <n v="3213"/>
    <n v="28374000"/>
    <n v="92.84"/>
    <n v="3272"/>
    <n v="923000"/>
    <n v="0.97929750583168851"/>
    <n v="2.0702494168311502E-2"/>
  </r>
  <r>
    <x v="3"/>
    <d v="2024-02-16T00:00:00"/>
    <x v="0"/>
    <n v="2"/>
    <n v="16"/>
    <n v="34743000"/>
    <n v="34546000"/>
    <n v="34071000"/>
    <n v="14138000"/>
    <n v="19933000"/>
    <n v="231436000"/>
    <n v="20883000"/>
    <n v="66.98"/>
    <n v="3207"/>
    <n v="20574000"/>
    <n v="67.180000000000007"/>
    <n v="3265"/>
    <n v="672000"/>
    <n v="0.9806579742681979"/>
    <n v="1.934202573180209E-2"/>
  </r>
  <r>
    <x v="3"/>
    <d v="2024-02-09T00:00:00"/>
    <x v="0"/>
    <n v="2"/>
    <n v="9"/>
    <n v="25553000"/>
    <n v="25443000"/>
    <n v="24989000"/>
    <n v="9420000"/>
    <n v="15570000"/>
    <n v="158617000"/>
    <n v="7483000"/>
    <n v="13.03"/>
    <n v="1741"/>
    <n v="7417000"/>
    <n v="13.58"/>
    <n v="1831"/>
    <n v="564000"/>
    <n v="0.97792822760536924"/>
    <n v="2.2071772394630769E-2"/>
  </r>
  <r>
    <x v="3"/>
    <d v="2024-02-02T00:00:00"/>
    <x v="0"/>
    <n v="2"/>
    <n v="2"/>
    <n v="15318000"/>
    <n v="13928000"/>
    <n v="14909000"/>
    <n v="4874000"/>
    <n v="10035000"/>
    <n v="104788000"/>
    <n v="2616000"/>
    <n v="3.65"/>
    <n v="1395"/>
    <n v="2645000"/>
    <n v="4.08"/>
    <n v="1543"/>
    <n v="409000"/>
    <n v="0.97329938634286461"/>
    <n v="2.6700613657135396E-2"/>
  </r>
  <r>
    <x v="4"/>
    <d v="2023-12-29T00:00:00"/>
    <x v="1"/>
    <n v="12"/>
    <n v="29"/>
    <n v="162037000"/>
    <n v="162952000"/>
    <n v="150141000"/>
    <n v="85049000"/>
    <n v="65092000"/>
    <n v="871133000"/>
    <n v="105734000"/>
    <n v="334.86"/>
    <n v="3167"/>
    <n v="96592000"/>
    <n v="303.76"/>
    <n v="3145"/>
    <n v="11896000"/>
    <n v="0.92658466893363867"/>
    <n v="7.3415331066361389E-2"/>
  </r>
  <r>
    <x v="5"/>
    <d v="2023-10-27T00:00:00"/>
    <x v="1"/>
    <n v="10"/>
    <n v="27"/>
    <n v="160494000"/>
    <n v="161157000"/>
    <n v="149504000"/>
    <n v="84455000"/>
    <n v="65049000"/>
    <n v="788747000"/>
    <n v="104658000"/>
    <n v="319.66000000000003"/>
    <n v="3054"/>
    <n v="95895000"/>
    <n v="296.20999999999998"/>
    <n v="3089"/>
    <n v="10990000"/>
    <n v="0.93152391989731709"/>
    <n v="6.8476080102682968E-2"/>
  </r>
  <r>
    <x v="5"/>
    <d v="2023-10-20T00:00:00"/>
    <x v="1"/>
    <n v="10"/>
    <n v="20"/>
    <n v="160071000"/>
    <n v="160736000"/>
    <n v="149340000"/>
    <n v="84320000"/>
    <n v="65021000"/>
    <n v="779769000"/>
    <n v="103791000"/>
    <n v="308.99"/>
    <n v="2977"/>
    <n v="95326000"/>
    <n v="288.85000000000002"/>
    <n v="3030"/>
    <n v="10731000"/>
    <n v="0.93296099855689041"/>
    <n v="6.7039001443109619E-2"/>
  </r>
  <r>
    <x v="0"/>
    <d v="2023-05-12T00:00:00"/>
    <x v="1"/>
    <n v="5"/>
    <n v="12"/>
    <n v="142577000"/>
    <n v="140224000"/>
    <n v="134911000"/>
    <n v="72651000"/>
    <n v="62260000"/>
    <n v="536829000"/>
    <n v="94884000"/>
    <n v="266.85000000000002"/>
    <n v="2812"/>
    <n v="88435000"/>
    <n v="253.89"/>
    <n v="2871"/>
    <n v="7666000"/>
    <n v="0.94623256205418826"/>
    <n v="5.3767437945811736E-2"/>
  </r>
  <r>
    <x v="0"/>
    <d v="2023-05-05T00:00:00"/>
    <x v="1"/>
    <n v="5"/>
    <n v="5"/>
    <n v="141137000"/>
    <n v="138795000"/>
    <n v="134147000"/>
    <n v="72047000"/>
    <n v="62100000"/>
    <n v="523069000"/>
    <n v="93790000"/>
    <n v="262.89"/>
    <n v="2803"/>
    <n v="88380000"/>
    <n v="253.73"/>
    <n v="2871"/>
    <n v="6990000"/>
    <n v="0.95047365325889033"/>
    <n v="4.95263467411097E-2"/>
  </r>
  <r>
    <x v="1"/>
    <d v="2023-04-28T00:00:00"/>
    <x v="1"/>
    <n v="4"/>
    <n v="28"/>
    <n v="139375000"/>
    <n v="136909000"/>
    <n v="133229000"/>
    <n v="71347000"/>
    <n v="61883000"/>
    <n v="507207000"/>
    <n v="91800000"/>
    <n v="254.96"/>
    <n v="2777"/>
    <n v="86773000"/>
    <n v="247.21"/>
    <n v="2849"/>
    <n v="6146000"/>
    <n v="0.95590313901345292"/>
    <n v="4.4096860986547082E-2"/>
  </r>
  <r>
    <x v="1"/>
    <d v="2023-04-21T00:00:00"/>
    <x v="1"/>
    <n v="4"/>
    <n v="21"/>
    <n v="137144000"/>
    <n v="134649000"/>
    <n v="132009000"/>
    <n v="70492000"/>
    <n v="61517000"/>
    <n v="488119000"/>
    <n v="85935000"/>
    <n v="236.62"/>
    <n v="2753"/>
    <n v="81799000"/>
    <n v="231.28"/>
    <n v="2827"/>
    <n v="5135000"/>
    <n v="0.9625576036866359"/>
    <n v="3.7442396313364053E-2"/>
  </r>
  <r>
    <x v="1"/>
    <d v="2023-04-14T00:00:00"/>
    <x v="1"/>
    <n v="4"/>
    <n v="14"/>
    <n v="117321000"/>
    <n v="116175000"/>
    <n v="113201000"/>
    <n v="62174000"/>
    <n v="51027000"/>
    <n v="452290000"/>
    <n v="75824000"/>
    <n v="215.36"/>
    <n v="2840"/>
    <n v="73121000"/>
    <n v="212.22"/>
    <n v="2902"/>
    <n v="4120000"/>
    <n v="0.9648826723263525"/>
    <n v="3.5117327673647517E-2"/>
  </r>
  <r>
    <x v="1"/>
    <d v="2023-04-07T00:00:00"/>
    <x v="1"/>
    <n v="4"/>
    <n v="7"/>
    <n v="101320000"/>
    <n v="100367000"/>
    <n v="97831000"/>
    <n v="53165000"/>
    <n v="44666000"/>
    <n v="420715000"/>
    <n v="69095000"/>
    <n v="198.87"/>
    <n v="2878"/>
    <n v="66356000"/>
    <n v="195.25"/>
    <n v="2942"/>
    <n v="3489000"/>
    <n v="0.96556454796683777"/>
    <n v="3.4435452033162256E-2"/>
  </r>
  <r>
    <x v="2"/>
    <d v="2023-03-31T00:00:00"/>
    <x v="1"/>
    <n v="3"/>
    <n v="31"/>
    <n v="90111000"/>
    <n v="89656000"/>
    <n v="87126000"/>
    <n v="46517000"/>
    <n v="40609000"/>
    <n v="395430000"/>
    <n v="62932000"/>
    <n v="183.13"/>
    <n v="2910"/>
    <n v="60867000"/>
    <n v="180.75"/>
    <n v="2970"/>
    <n v="2985000"/>
    <n v="0.96687418850084894"/>
    <n v="3.3125811499151045E-2"/>
  </r>
  <r>
    <x v="2"/>
    <d v="2023-03-24T00:00:00"/>
    <x v="1"/>
    <n v="3"/>
    <n v="24"/>
    <n v="80683000"/>
    <n v="80369000"/>
    <n v="78167000"/>
    <n v="40671000"/>
    <n v="37496000"/>
    <n v="370706000"/>
    <n v="59342000"/>
    <n v="172.26"/>
    <n v="2903"/>
    <n v="55902000"/>
    <n v="167.2"/>
    <n v="2991"/>
    <n v="2516000"/>
    <n v="0.9688162314242158"/>
    <n v="3.118376857578424E-2"/>
  </r>
  <r>
    <x v="2"/>
    <d v="2023-03-17T00:00:00"/>
    <x v="1"/>
    <n v="3"/>
    <n v="17"/>
    <n v="71861000"/>
    <n v="71455000"/>
    <n v="69774000"/>
    <n v="35239000"/>
    <n v="34535000"/>
    <n v="345454000"/>
    <n v="53912000"/>
    <n v="158.1"/>
    <n v="2933"/>
    <n v="50940000"/>
    <n v="153.80000000000001"/>
    <n v="3019"/>
    <n v="2087000"/>
    <n v="0.97095782134954978"/>
    <n v="2.9042178650450175E-2"/>
  </r>
  <r>
    <x v="2"/>
    <d v="2023-03-10T00:00:00"/>
    <x v="1"/>
    <n v="3"/>
    <n v="10"/>
    <n v="63442000"/>
    <n v="63191000"/>
    <n v="61713000"/>
    <n v="30215000"/>
    <n v="31498000"/>
    <n v="318555000"/>
    <n v="49174000"/>
    <n v="146.16999999999999"/>
    <n v="2972"/>
    <n v="45757000"/>
    <n v="140.65"/>
    <n v="3074"/>
    <n v="1729000"/>
    <n v="0.97274676082090727"/>
    <n v="2.7253239179092715E-2"/>
  </r>
  <r>
    <x v="2"/>
    <d v="2023-03-03T00:00:00"/>
    <x v="1"/>
    <n v="3"/>
    <n v="3"/>
    <n v="54948000"/>
    <n v="54341000"/>
    <n v="53598000"/>
    <n v="25210000"/>
    <n v="28387000"/>
    <n v="289829000"/>
    <n v="42040000"/>
    <n v="127.31"/>
    <n v="3028"/>
    <n v="39907000"/>
    <n v="124.31"/>
    <n v="3115"/>
    <n v="1350000"/>
    <n v="0.97543131688141516"/>
    <n v="2.4568683118584844E-2"/>
  </r>
  <r>
    <x v="3"/>
    <d v="2023-02-24T00:00:00"/>
    <x v="1"/>
    <n v="2"/>
    <n v="24"/>
    <n v="45983000"/>
    <n v="45722000"/>
    <n v="44962000"/>
    <n v="20239000"/>
    <n v="24723000"/>
    <n v="256924000"/>
    <n v="35142000"/>
    <n v="108.2"/>
    <n v="3079"/>
    <n v="33377000"/>
    <n v="105.81"/>
    <n v="3170"/>
    <n v="1021000"/>
    <n v="0.97779614205249765"/>
    <n v="2.2203857947502337E-2"/>
  </r>
  <r>
    <x v="3"/>
    <d v="2023-02-17T00:00:00"/>
    <x v="1"/>
    <n v="2"/>
    <n v="17"/>
    <n v="36859000"/>
    <n v="36769000"/>
    <n v="36079000"/>
    <n v="15380000"/>
    <n v="20698000"/>
    <n v="212815000"/>
    <n v="27781000"/>
    <n v="87.25"/>
    <n v="3140"/>
    <n v="26321000"/>
    <n v="85.3"/>
    <n v="3241"/>
    <n v="780000"/>
    <n v="0.97883827559076486"/>
    <n v="2.1161724409235194E-2"/>
  </r>
  <r>
    <x v="3"/>
    <d v="2023-02-10T00:00:00"/>
    <x v="1"/>
    <n v="2"/>
    <n v="10"/>
    <n v="28826000"/>
    <n v="26622000"/>
    <n v="27239000"/>
    <n v="10664000"/>
    <n v="16575000"/>
    <n v="149706000"/>
    <n v="13341000"/>
    <n v="26.65"/>
    <n v="1997"/>
    <n v="12186000"/>
    <n v="25.39"/>
    <n v="2084"/>
    <n v="1587000"/>
    <n v="0.9449455352806494"/>
    <n v="5.5054464719350583E-2"/>
  </r>
  <r>
    <x v="3"/>
    <d v="2023-02-03T00:00:00"/>
    <x v="1"/>
    <n v="2"/>
    <n v="3"/>
    <n v="18946000"/>
    <n v="16767000"/>
    <n v="17508000"/>
    <n v="6066000"/>
    <n v="11442000"/>
    <n v="105829000"/>
    <n v="7996000"/>
    <n v="15.7"/>
    <n v="1963"/>
    <n v="6944000"/>
    <n v="14.28"/>
    <n v="2056"/>
    <n v="1438000"/>
    <n v="0.92410007389422566"/>
    <n v="7.5899926105774312E-2"/>
  </r>
  <r>
    <x v="4"/>
    <d v="2022-12-30T00:00:00"/>
    <x v="2"/>
    <n v="12"/>
    <n v="30"/>
    <n v="165774000"/>
    <n v="168855000"/>
    <n v="152089000"/>
    <n v="85140000"/>
    <n v="66949000"/>
    <n v="1026942000"/>
    <n v="110567000"/>
    <n v="359.52"/>
    <n v="3252"/>
    <n v="100758000"/>
    <n v="331.84"/>
    <n v="3293"/>
    <n v="13685000"/>
    <n v="0.91744785068828649"/>
    <n v="8.2552149311713535E-2"/>
  </r>
  <r>
    <x v="5"/>
    <d v="2022-10-28T00:00:00"/>
    <x v="2"/>
    <n v="10"/>
    <n v="28"/>
    <n v="164246000"/>
    <n v="164997000"/>
    <n v="151448000"/>
    <n v="84616000"/>
    <n v="66832000"/>
    <n v="942947000"/>
    <n v="108622000"/>
    <n v="344.95"/>
    <n v="3176"/>
    <n v="99636000"/>
    <n v="324.16000000000003"/>
    <n v="3253"/>
    <n v="12798000"/>
    <n v="0.92208029419285709"/>
    <n v="7.7919705807142942E-2"/>
  </r>
  <r>
    <x v="5"/>
    <d v="2022-10-21T00:00:00"/>
    <x v="2"/>
    <n v="10"/>
    <n v="21"/>
    <n v="163762000"/>
    <n v="163967000"/>
    <n v="151264000"/>
    <n v="84485000"/>
    <n v="66780000"/>
    <n v="932164000"/>
    <n v="107880000"/>
    <n v="337.6"/>
    <n v="3129"/>
    <n v="99182000"/>
    <n v="319.5"/>
    <n v="3221"/>
    <n v="12498000"/>
    <n v="0.92368192865255672"/>
    <n v="7.6318071347443242E-2"/>
  </r>
  <r>
    <x v="0"/>
    <d v="2022-05-20T00:00:00"/>
    <x v="2"/>
    <n v="5"/>
    <n v="20"/>
    <n v="145372000"/>
    <n v="140618000"/>
    <n v="137177000"/>
    <n v="73356000"/>
    <n v="63820000"/>
    <n v="679249000"/>
    <n v="96274000"/>
    <n v="292.54000000000002"/>
    <n v="3039"/>
    <n v="90527000"/>
    <n v="282.52999999999997"/>
    <n v="3121"/>
    <n v="8195000"/>
    <n v="0.94362738354015907"/>
    <n v="5.6372616459840957E-2"/>
  </r>
  <r>
    <x v="0"/>
    <d v="2022-05-13T00:00:00"/>
    <x v="2"/>
    <n v="5"/>
    <n v="13"/>
    <n v="144341000"/>
    <n v="139460000"/>
    <n v="136430000"/>
    <n v="72774000"/>
    <n v="63656000"/>
    <n v="664529000"/>
    <n v="95539000"/>
    <n v="289.73"/>
    <n v="3033"/>
    <n v="89867000"/>
    <n v="279.97000000000003"/>
    <n v="3115"/>
    <n v="7911000"/>
    <n v="0.94519228770758135"/>
    <n v="5.4807712292418646E-2"/>
  </r>
  <r>
    <x v="0"/>
    <d v="2022-05-06T00:00:00"/>
    <x v="2"/>
    <n v="5"/>
    <n v="6"/>
    <n v="143164000"/>
    <n v="138075000"/>
    <n v="135611000"/>
    <n v="72130000"/>
    <n v="63481000"/>
    <n v="648533000"/>
    <n v="94399000"/>
    <n v="285.55"/>
    <n v="3025"/>
    <n v="88861000"/>
    <n v="276.2"/>
    <n v="3108"/>
    <n v="7553000"/>
    <n v="0.94724232348914528"/>
    <n v="5.2757676510854681E-2"/>
  </r>
  <r>
    <x v="1"/>
    <d v="2022-04-29T00:00:00"/>
    <x v="2"/>
    <n v="4"/>
    <n v="29"/>
    <n v="141272000"/>
    <n v="136484000"/>
    <n v="134646000"/>
    <n v="71395000"/>
    <n v="63251000"/>
    <n v="630458000"/>
    <n v="92523000"/>
    <n v="279.27999999999997"/>
    <n v="3019"/>
    <n v="87233000"/>
    <n v="270.62"/>
    <n v="3102"/>
    <n v="6626000"/>
    <n v="0.95309757064386436"/>
    <n v="4.6902429356135679E-2"/>
  </r>
  <r>
    <x v="1"/>
    <d v="2022-04-22T00:00:00"/>
    <x v="2"/>
    <n v="4"/>
    <n v="22"/>
    <n v="138942000"/>
    <n v="133773000"/>
    <n v="133410000"/>
    <n v="70509000"/>
    <n v="62900000"/>
    <n v="609075000"/>
    <n v="88667000"/>
    <n v="267.02"/>
    <n v="3012"/>
    <n v="83891000"/>
    <n v="259.97000000000003"/>
    <n v="3099"/>
    <n v="5532000"/>
    <n v="0.96018482532279659"/>
    <n v="3.9815174677203434E-2"/>
  </r>
  <r>
    <x v="1"/>
    <d v="2022-04-15T00:00:00"/>
    <x v="2"/>
    <n v="4"/>
    <n v="15"/>
    <n v="122543000"/>
    <n v="118826000"/>
    <n v="117859000"/>
    <n v="63692000"/>
    <n v="54167000"/>
    <n v="571818000"/>
    <n v="78201000"/>
    <n v="242.63"/>
    <n v="3103"/>
    <n v="74769000"/>
    <n v="237.82"/>
    <n v="3181"/>
    <n v="4684000"/>
    <n v="0.96177668247064296"/>
    <n v="3.8223317529357044E-2"/>
  </r>
  <r>
    <x v="1"/>
    <d v="2022-04-08T00:00:00"/>
    <x v="2"/>
    <n v="4"/>
    <n v="8"/>
    <n v="103315000"/>
    <n v="99785000"/>
    <n v="99290000"/>
    <n v="53018000"/>
    <n v="46272000"/>
    <n v="531901000"/>
    <n v="70040000"/>
    <n v="222.34"/>
    <n v="3175"/>
    <n v="66632000"/>
    <n v="216.98"/>
    <n v="3256"/>
    <n v="4025000"/>
    <n v="0.96104147510042104"/>
    <n v="3.8958524899578954E-2"/>
  </r>
  <r>
    <x v="1"/>
    <d v="2022-04-01T00:00:00"/>
    <x v="2"/>
    <n v="4"/>
    <n v="1"/>
    <n v="91260000"/>
    <n v="89267000"/>
    <n v="87869000"/>
    <n v="45901000"/>
    <n v="41968000"/>
    <n v="478849000"/>
    <n v="63357000"/>
    <n v="204.41"/>
    <n v="3226"/>
    <n v="60606000"/>
    <n v="200.24"/>
    <n v="3304"/>
    <n v="3391000"/>
    <n v="0.96284242822704358"/>
    <n v="3.7157571772956387E-2"/>
  </r>
  <r>
    <x v="2"/>
    <d v="2022-03-25T00:00:00"/>
    <x v="2"/>
    <n v="3"/>
    <n v="25"/>
    <n v="81371000"/>
    <n v="78858000"/>
    <n v="78426000"/>
    <n v="39909000"/>
    <n v="38517000"/>
    <n v="468160000"/>
    <n v="57830000"/>
    <n v="188.69"/>
    <n v="3263"/>
    <n v="55561000"/>
    <n v="185.43"/>
    <n v="3337"/>
    <n v="2945000"/>
    <n v="0.96380774477393671"/>
    <n v="3.6192255226063341E-2"/>
  </r>
  <r>
    <x v="2"/>
    <d v="2022-03-18T00:00:00"/>
    <x v="2"/>
    <n v="3"/>
    <n v="18"/>
    <n v="72223000"/>
    <n v="70305000"/>
    <n v="69852000"/>
    <n v="34395000"/>
    <n v="35457000"/>
    <n v="435510000"/>
    <n v="51775000"/>
    <n v="171.14"/>
    <n v="3305"/>
    <n v="49960000"/>
    <n v="168.56"/>
    <n v="3374"/>
    <n v="2371000"/>
    <n v="0.96717112277252404"/>
    <n v="3.282887722747601E-2"/>
  </r>
  <r>
    <x v="2"/>
    <d v="2022-03-11T00:00:00"/>
    <x v="2"/>
    <n v="3"/>
    <n v="11"/>
    <n v="63474000"/>
    <n v="61962000"/>
    <n v="61605000"/>
    <n v="29303000"/>
    <n v="32302000"/>
    <n v="399448000"/>
    <n v="45319000"/>
    <n v="151.93"/>
    <n v="3352"/>
    <n v="43951000"/>
    <n v="150.16999999999999"/>
    <n v="3417"/>
    <n v="1869000"/>
    <n v="0.97055487286132902"/>
    <n v="2.9445127138670951E-2"/>
  </r>
  <r>
    <x v="2"/>
    <d v="2022-03-04T00:00:00"/>
    <x v="2"/>
    <n v="3"/>
    <n v="4"/>
    <n v="54741000"/>
    <n v="53053000"/>
    <n v="53216000"/>
    <n v="24201000"/>
    <n v="29015000"/>
    <n v="357372000"/>
    <n v="37999000"/>
    <n v="129.22999999999999"/>
    <n v="3401"/>
    <n v="37049000"/>
    <n v="128.25"/>
    <n v="3462"/>
    <n v="1525000"/>
    <n v="0.97214153924846092"/>
    <n v="2.7858460751539065E-2"/>
  </r>
  <r>
    <x v="3"/>
    <d v="2022-02-25T00:00:00"/>
    <x v="2"/>
    <n v="2"/>
    <n v="25"/>
    <n v="45413000"/>
    <n v="43818000"/>
    <n v="44293000"/>
    <n v="19082000"/>
    <n v="25211000"/>
    <n v="307581000"/>
    <n v="29723000"/>
    <n v="103.22"/>
    <n v="3473"/>
    <n v="29190000"/>
    <n v="103.02"/>
    <n v="3529"/>
    <n v="1120000"/>
    <n v="0.97533745843701147"/>
    <n v="2.4662541562988572E-2"/>
  </r>
  <r>
    <x v="3"/>
    <d v="2022-02-18T00:00:00"/>
    <x v="2"/>
    <n v="2"/>
    <n v="18"/>
    <n v="35922000"/>
    <n v="33464000"/>
    <n v="34940000"/>
    <n v="14213000"/>
    <n v="20726000"/>
    <n v="248303000"/>
    <n v="22065000"/>
    <n v="78.02"/>
    <n v="3536"/>
    <n v="21804000"/>
    <n v="78.27"/>
    <n v="3590"/>
    <n v="982000"/>
    <n v="0.9726629920383052"/>
    <n v="2.7337007961694783E-2"/>
  </r>
  <r>
    <x v="3"/>
    <d v="2022-02-11T00:00:00"/>
    <x v="2"/>
    <n v="2"/>
    <n v="11"/>
    <n v="26421000"/>
    <n v="23438000"/>
    <n v="25627000"/>
    <n v="9598000"/>
    <n v="16029000"/>
    <n v="172827000"/>
    <n v="8992000"/>
    <n v="20.89"/>
    <n v="2323"/>
    <n v="9037000"/>
    <n v="21.69"/>
    <n v="2400"/>
    <n v="794000"/>
    <n v="0.96994814730706636"/>
    <n v="3.0051852692933652E-2"/>
  </r>
  <r>
    <x v="3"/>
    <d v="2022-02-04T00:00:00"/>
    <x v="2"/>
    <n v="2"/>
    <n v="4"/>
    <n v="16685000"/>
    <n v="12992000"/>
    <n v="15990000"/>
    <n v="5243000"/>
    <n v="10747000"/>
    <n v="120234000"/>
    <n v="4330000"/>
    <n v="9.5299999999999994"/>
    <n v="2201"/>
    <n v="4464000"/>
    <n v="10.29"/>
    <n v="2306"/>
    <n v="695000"/>
    <n v="0.95834581959844167"/>
    <n v="4.1654180401558286E-2"/>
  </r>
  <r>
    <x v="4"/>
    <d v="2021-12-03T00:00:00"/>
    <x v="3"/>
    <n v="12"/>
    <n v="3"/>
    <n v="169098000"/>
    <n v="168453000"/>
    <n v="152300000"/>
    <n v="84924000"/>
    <n v="67376000"/>
    <n v="1947346000"/>
    <n v="129841000"/>
    <n v="365.5"/>
    <n v="2815"/>
    <n v="113283000"/>
    <n v="326.18"/>
    <n v="2879"/>
    <n v="16798000"/>
    <n v="0.90066115506984112"/>
    <n v="9.9338844930158848E-2"/>
  </r>
  <r>
    <x v="5"/>
    <d v="2021-10-29T00:00:00"/>
    <x v="3"/>
    <n v="10"/>
    <n v="29"/>
    <n v="168026000"/>
    <n v="166898000"/>
    <n v="151824000"/>
    <n v="84525000"/>
    <n v="67299000"/>
    <n v="1885126000"/>
    <n v="128572000"/>
    <n v="358.88"/>
    <n v="2791"/>
    <n v="112591000"/>
    <n v="322.38"/>
    <n v="2863"/>
    <n v="16202000"/>
    <n v="0.90357444681180299"/>
    <n v="9.6425553188197066E-2"/>
  </r>
  <r>
    <x v="5"/>
    <d v="2021-10-22T00:00:00"/>
    <x v="3"/>
    <n v="10"/>
    <n v="22"/>
    <n v="167634000"/>
    <n v="166342000"/>
    <n v="151681000"/>
    <n v="84422000"/>
    <n v="67259000"/>
    <n v="1871475000"/>
    <n v="128064000"/>
    <n v="355.37"/>
    <n v="2775"/>
    <n v="112267000"/>
    <n v="320.11"/>
    <n v="2851"/>
    <n v="15953000"/>
    <n v="0.90483434148203823"/>
    <n v="9.5165658517961743E-2"/>
  </r>
  <r>
    <x v="6"/>
    <d v="2021-06-11T00:00:00"/>
    <x v="3"/>
    <n v="6"/>
    <n v="11"/>
    <n v="152465000"/>
    <n v="141032000"/>
    <n v="140860000"/>
    <n v="75876000"/>
    <n v="64984000"/>
    <n v="1452971000"/>
    <n v="104304000"/>
    <n v="289.48"/>
    <n v="2775"/>
    <n v="93882000"/>
    <n v="267.52999999999997"/>
    <n v="2850"/>
    <n v="11605000"/>
    <n v="0.92388417013740853"/>
    <n v="7.6115829862591411E-2"/>
  </r>
  <r>
    <x v="6"/>
    <d v="2021-06-04T00:00:00"/>
    <x v="3"/>
    <n v="6"/>
    <n v="4"/>
    <n v="150938000"/>
    <n v="138979000"/>
    <n v="140074000"/>
    <n v="75276000"/>
    <n v="64798000"/>
    <n v="1425885000"/>
    <n v="102380000"/>
    <n v="284.99"/>
    <n v="2784"/>
    <n v="92626000"/>
    <n v="264.58999999999997"/>
    <n v="2857"/>
    <n v="10864000"/>
    <n v="0.92802342683750949"/>
    <n v="7.1976573162490565E-2"/>
  </r>
  <r>
    <x v="0"/>
    <d v="2021-05-28T00:00:00"/>
    <x v="3"/>
    <n v="5"/>
    <n v="28"/>
    <n v="149650000"/>
    <n v="137609000"/>
    <n v="139417000"/>
    <n v="74800000"/>
    <n v="64617000"/>
    <n v="1401265000"/>
    <n v="101243000"/>
    <n v="281.39999999999998"/>
    <n v="2779"/>
    <n v="91749000"/>
    <n v="261.60000000000002"/>
    <n v="2851"/>
    <n v="10233000"/>
    <n v="0.93162044771132646"/>
    <n v="6.8379552288673567E-2"/>
  </r>
  <r>
    <x v="0"/>
    <d v="2021-05-21T00:00:00"/>
    <x v="3"/>
    <n v="5"/>
    <n v="21"/>
    <n v="148012000"/>
    <n v="135773000"/>
    <n v="138563000"/>
    <n v="74195000"/>
    <n v="64368000"/>
    <n v="1372697000"/>
    <n v="95632000"/>
    <n v="270.35000000000002"/>
    <n v="2827"/>
    <n v="87045000"/>
    <n v="252.37"/>
    <n v="2899"/>
    <n v="9449000"/>
    <n v="0.93616058157446691"/>
    <n v="6.3839418425533062E-2"/>
  </r>
  <r>
    <x v="0"/>
    <d v="2021-05-14T00:00:00"/>
    <x v="3"/>
    <n v="5"/>
    <n v="14"/>
    <n v="136309000"/>
    <n v="124599000"/>
    <n v="127658000"/>
    <n v="69718000"/>
    <n v="57940000"/>
    <n v="1333514000"/>
    <n v="88890000"/>
    <n v="253.83"/>
    <n v="2856"/>
    <n v="81249000"/>
    <n v="237.72"/>
    <n v="2926"/>
    <n v="8651000"/>
    <n v="0.93653390458443686"/>
    <n v="6.3466095415563167E-2"/>
  </r>
  <r>
    <x v="0"/>
    <d v="2021-05-07T00:00:00"/>
    <x v="3"/>
    <n v="5"/>
    <n v="7"/>
    <n v="126777000"/>
    <n v="115989000"/>
    <n v="118664000"/>
    <n v="64425000"/>
    <n v="54239000"/>
    <n v="1293942000"/>
    <n v="84840000"/>
    <n v="242.9"/>
    <n v="2863"/>
    <n v="77979000"/>
    <n v="228.13"/>
    <n v="2932"/>
    <n v="8113000"/>
    <n v="0.93600574236651757"/>
    <n v="6.3994257633482418E-2"/>
  </r>
  <r>
    <x v="1"/>
    <d v="2021-04-30T00:00:00"/>
    <x v="3"/>
    <n v="4"/>
    <n v="30"/>
    <n v="121168000"/>
    <n v="110257000"/>
    <n v="113617000"/>
    <n v="61282000"/>
    <n v="52335000"/>
    <n v="1256364000"/>
    <n v="81485000"/>
    <n v="233.49"/>
    <n v="2865"/>
    <n v="74965000"/>
    <n v="219.96"/>
    <n v="2934"/>
    <n v="7551000"/>
    <n v="0.93768156609005682"/>
    <n v="6.2318433909943217E-2"/>
  </r>
  <r>
    <x v="1"/>
    <d v="2021-04-23T00:00:00"/>
    <x v="3"/>
    <n v="4"/>
    <n v="23"/>
    <n v="116139000"/>
    <n v="105330000"/>
    <n v="109381000"/>
    <n v="58506000"/>
    <n v="50875000"/>
    <n v="1217624000"/>
    <n v="77652000"/>
    <n v="222.87"/>
    <n v="2870"/>
    <n v="71741000"/>
    <n v="210.67"/>
    <n v="2936"/>
    <n v="6758000"/>
    <n v="0.94181110565787551"/>
    <n v="5.8188894342124521E-2"/>
  </r>
  <r>
    <x v="1"/>
    <d v="2021-04-16T00:00:00"/>
    <x v="3"/>
    <n v="4"/>
    <n v="16"/>
    <n v="110961000"/>
    <n v="100027000"/>
    <n v="104786000"/>
    <n v="55450000"/>
    <n v="49336000"/>
    <n v="1178651000"/>
    <n v="73316000"/>
    <n v="210.67"/>
    <n v="2873"/>
    <n v="68000000"/>
    <n v="199.85"/>
    <n v="2939"/>
    <n v="6175000"/>
    <n v="0.94434981660222961"/>
    <n v="5.5650183397770385E-2"/>
  </r>
  <r>
    <x v="1"/>
    <d v="2021-04-09T00:00:00"/>
    <x v="3"/>
    <n v="4"/>
    <n v="9"/>
    <n v="100915000"/>
    <n v="91152000"/>
    <n v="95562000"/>
    <n v="49947000"/>
    <n v="45615000"/>
    <n v="1130085000"/>
    <n v="67727000"/>
    <n v="195.6"/>
    <n v="2888"/>
    <n v="63114000"/>
    <n v="186.28"/>
    <n v="2951"/>
    <n v="5353000"/>
    <n v="0.94695535846999945"/>
    <n v="5.3044641530000498E-2"/>
  </r>
  <r>
    <x v="1"/>
    <d v="2021-04-02T00:00:00"/>
    <x v="3"/>
    <n v="4"/>
    <n v="2"/>
    <n v="93202000"/>
    <n v="83712000"/>
    <n v="88285000"/>
    <n v="44992000"/>
    <n v="43293000"/>
    <n v="1070694000"/>
    <n v="62305000"/>
    <n v="180.25"/>
    <n v="2893"/>
    <n v="58325000"/>
    <n v="172.27"/>
    <n v="2954"/>
    <n v="4917000"/>
    <n v="0.94724362138151541"/>
    <n v="5.2756378618484583E-2"/>
  </r>
  <r>
    <x v="2"/>
    <d v="2021-03-26T00:00:00"/>
    <x v="3"/>
    <n v="3"/>
    <n v="26"/>
    <n v="85005000"/>
    <n v="75971000"/>
    <n v="80835000"/>
    <n v="39926000"/>
    <n v="40909000"/>
    <n v="991159000"/>
    <n v="56494000"/>
    <n v="163.92"/>
    <n v="2902"/>
    <n v="53152000"/>
    <n v="157.28"/>
    <n v="2959"/>
    <n v="4170000"/>
    <n v="0.95094406211399329"/>
    <n v="4.9055937886006706E-2"/>
  </r>
  <r>
    <x v="2"/>
    <d v="2021-03-19T00:00:00"/>
    <x v="3"/>
    <n v="3"/>
    <n v="19"/>
    <n v="76097000"/>
    <n v="67704000"/>
    <n v="72730000"/>
    <n v="34566000"/>
    <n v="38164000"/>
    <n v="879042000"/>
    <n v="49722000"/>
    <n v="145.63"/>
    <n v="2929"/>
    <n v="47093000"/>
    <n v="140.43"/>
    <n v="2982"/>
    <n v="3367000"/>
    <n v="0.9557538404930549"/>
    <n v="4.4246159506945083E-2"/>
  </r>
  <r>
    <x v="2"/>
    <d v="2021-03-12T00:00:00"/>
    <x v="3"/>
    <n v="3"/>
    <n v="12"/>
    <n v="66065000"/>
    <n v="58490000"/>
    <n v="63492000"/>
    <n v="29293000"/>
    <n v="34199000"/>
    <n v="659291000"/>
    <n v="42513000"/>
    <n v="126.12"/>
    <n v="2967"/>
    <n v="40492000"/>
    <n v="122.14"/>
    <n v="3016"/>
    <n v="2573000"/>
    <n v="0.96105350790887767"/>
    <n v="3.894649209112238E-2"/>
  </r>
  <r>
    <x v="2"/>
    <d v="2021-03-05T00:00:00"/>
    <x v="3"/>
    <n v="3"/>
    <n v="5"/>
    <n v="55716000"/>
    <n v="48967000"/>
    <n v="53922000"/>
    <n v="23926000"/>
    <n v="29996000"/>
    <n v="555744000"/>
    <n v="36049000"/>
    <n v="107.78"/>
    <n v="2990"/>
    <n v="34498000"/>
    <n v="104.72"/>
    <n v="3036"/>
    <n v="1794000"/>
    <n v="0.96780099073874648"/>
    <n v="3.2199009261253499E-2"/>
  </r>
  <r>
    <x v="3"/>
    <d v="2021-02-26T00:00:00"/>
    <x v="3"/>
    <n v="2"/>
    <n v="26"/>
    <n v="45271000"/>
    <n v="39402000"/>
    <n v="43936000"/>
    <n v="18344000"/>
    <n v="25592000"/>
    <n v="493500000"/>
    <n v="28301000"/>
    <n v="85.48"/>
    <n v="3021"/>
    <n v="27228000"/>
    <n v="83.41"/>
    <n v="3063"/>
    <n v="1335000"/>
    <n v="0.97051092310750808"/>
    <n v="2.9489076892491882E-2"/>
  </r>
  <r>
    <x v="3"/>
    <d v="2021-02-19T00:00:00"/>
    <x v="3"/>
    <n v="2"/>
    <n v="19"/>
    <n v="34693000"/>
    <n v="29832000"/>
    <n v="33615000"/>
    <n v="12813000"/>
    <n v="20802000"/>
    <n v="425806000"/>
    <n v="16576000"/>
    <n v="47.74"/>
    <n v="2880"/>
    <n v="16027000"/>
    <n v="46.79"/>
    <n v="2920"/>
    <n v="1078000"/>
    <n v="0.96892744934136565"/>
    <n v="3.1072550658634308E-2"/>
  </r>
  <r>
    <x v="3"/>
    <d v="2021-02-12T00:00:00"/>
    <x v="3"/>
    <n v="2"/>
    <n v="12"/>
    <n v="20645000"/>
    <n v="14695000"/>
    <n v="19689000"/>
    <n v="6859000"/>
    <n v="12830000"/>
    <n v="368647000"/>
    <n v="1136000"/>
    <n v="2.16"/>
    <n v="1900"/>
    <n v="1099000"/>
    <n v="2.11"/>
    <n v="1921"/>
    <n v="956000"/>
    <n v="0.9536933882295956"/>
    <n v="4.6306611770404453E-2"/>
  </r>
  <r>
    <x v="4"/>
    <d v="2020-12-11T00:00:00"/>
    <x v="4"/>
    <n v="12"/>
    <n v="11"/>
    <n v="169684000"/>
    <n v="163654000"/>
    <n v="152802000"/>
    <n v="80582000"/>
    <n v="72220000"/>
    <n v="1647043000"/>
    <n v="125851000"/>
    <n v="320.85000000000002"/>
    <n v="2549"/>
    <n v="102695000"/>
    <n v="269.26"/>
    <n v="2622"/>
    <n v="16882000"/>
    <n v="0.9005091817731784"/>
    <n v="9.9490818226821626E-2"/>
  </r>
  <r>
    <x v="4"/>
    <d v="2020-12-04T00:00:00"/>
    <x v="4"/>
    <n v="12"/>
    <n v="4"/>
    <n v="169153000"/>
    <n v="163217000"/>
    <n v="152802000"/>
    <n v="80582000"/>
    <n v="72220000"/>
    <n v="1637545000"/>
    <n v="125703000"/>
    <n v="320.02"/>
    <n v="2546"/>
    <n v="102623000"/>
    <n v="268.89"/>
    <n v="2620"/>
    <n v="16351000"/>
    <n v="0.90333603305882837"/>
    <n v="9.6663966941171603E-2"/>
  </r>
  <r>
    <x v="7"/>
    <d v="2020-11-20T00:00:00"/>
    <x v="4"/>
    <n v="11"/>
    <n v="20"/>
    <n v="168650000"/>
    <n v="162472000"/>
    <n v="152802000"/>
    <n v="80582000"/>
    <n v="72220000"/>
    <n v="1619588000"/>
    <n v="125299000"/>
    <n v="317.69"/>
    <n v="2535"/>
    <n v="102399000"/>
    <n v="267.86"/>
    <n v="2616"/>
    <n v="15848000"/>
    <n v="0.9060302401423066"/>
    <n v="9.3969759857693444E-2"/>
  </r>
  <r>
    <x v="5"/>
    <d v="2020-10-23T00:00:00"/>
    <x v="4"/>
    <n v="10"/>
    <n v="23"/>
    <n v="166255000"/>
    <n v="160171000"/>
    <n v="152066000"/>
    <n v="80186000"/>
    <n v="71880000"/>
    <n v="1573404000"/>
    <n v="124164000"/>
    <n v="309.75"/>
    <n v="2495"/>
    <n v="101773000"/>
    <n v="263.77999999999997"/>
    <n v="2592"/>
    <n v="14189000"/>
    <n v="0.9146551983398995"/>
    <n v="8.5344801660100444E-2"/>
  </r>
  <r>
    <x v="5"/>
    <d v="2020-10-16T00:00:00"/>
    <x v="4"/>
    <n v="10"/>
    <n v="16"/>
    <n v="165624000"/>
    <n v="159376000"/>
    <n v="151812000"/>
    <n v="80051000"/>
    <n v="71761000"/>
    <n v="1561914000"/>
    <n v="123416000"/>
    <n v="305.56"/>
    <n v="2476"/>
    <n v="101298000"/>
    <n v="261.02"/>
    <n v="2577"/>
    <n v="13812000"/>
    <n v="0.91660628894363139"/>
    <n v="8.3393711056368641E-2"/>
  </r>
  <r>
    <x v="8"/>
    <d v="2020-07-24T00:00:00"/>
    <x v="4"/>
    <n v="7"/>
    <n v="24"/>
    <n v="152875000"/>
    <n v="146556000"/>
    <n v="143906000"/>
    <n v="74125000"/>
    <n v="69781000"/>
    <n v="1397638000"/>
    <n v="102904000"/>
    <n v="282.02999999999997"/>
    <n v="2741"/>
    <n v="85333000"/>
    <n v="245.21"/>
    <n v="2874"/>
    <n v="8969000"/>
    <n v="0.94133115290269831"/>
    <n v="5.8668847097301718E-2"/>
  </r>
  <r>
    <x v="8"/>
    <d v="2020-07-17T00:00:00"/>
    <x v="4"/>
    <n v="7"/>
    <n v="17"/>
    <n v="151782000"/>
    <n v="145464000"/>
    <n v="143379000"/>
    <n v="73806000"/>
    <n v="69573000"/>
    <n v="1380722000"/>
    <n v="100483000"/>
    <n v="276.08999999999997"/>
    <n v="2748"/>
    <n v="83384000"/>
    <n v="240.46"/>
    <n v="2884"/>
    <n v="8403000"/>
    <n v="0.94463770407558212"/>
    <n v="5.5362295924417916E-2"/>
  </r>
  <r>
    <x v="8"/>
    <d v="2020-07-10T00:00:00"/>
    <x v="4"/>
    <n v="7"/>
    <n v="10"/>
    <n v="147142000"/>
    <n v="134603000"/>
    <n v="133174000"/>
    <n v="68921000"/>
    <n v="64253000"/>
    <n v="1353646000"/>
    <n v="96798000"/>
    <n v="267.32"/>
    <n v="2762"/>
    <n v="80394000"/>
    <n v="233.09"/>
    <n v="2899"/>
    <n v="13968000"/>
    <n v="0.90507129167742728"/>
    <n v="9.4928708322572747E-2"/>
  </r>
  <r>
    <x v="8"/>
    <d v="2020-07-03T00:00:00"/>
    <x v="4"/>
    <n v="7"/>
    <n v="3"/>
    <n v="142375000"/>
    <n v="130554000"/>
    <n v="129421000"/>
    <n v="66608000"/>
    <n v="62813000"/>
    <n v="1332820000"/>
    <n v="95210000"/>
    <n v="263.01"/>
    <n v="2762"/>
    <n v="79141000"/>
    <n v="229.59"/>
    <n v="2901"/>
    <n v="12954000"/>
    <n v="0.90901492537313433"/>
    <n v="9.098507462686567E-2"/>
  </r>
  <r>
    <x v="6"/>
    <d v="2020-06-26T00:00:00"/>
    <x v="4"/>
    <n v="6"/>
    <n v="26"/>
    <n v="139938000"/>
    <n v="128525000"/>
    <n v="127274000"/>
    <n v="65257000"/>
    <n v="62017000"/>
    <n v="1315097000"/>
    <n v="94117000"/>
    <n v="259.70999999999998"/>
    <n v="2759"/>
    <n v="78280000"/>
    <n v="226.97"/>
    <n v="2899"/>
    <n v="12664000"/>
    <n v="0.90950277980248395"/>
    <n v="9.0497220197516048E-2"/>
  </r>
  <r>
    <x v="6"/>
    <d v="2020-06-19T00:00:00"/>
    <x v="4"/>
    <n v="6"/>
    <n v="19"/>
    <n v="138272000"/>
    <n v="126587000"/>
    <n v="125637000"/>
    <n v="64154000"/>
    <n v="61483000"/>
    <n v="1295793000"/>
    <n v="93204000"/>
    <n v="257.55"/>
    <n v="2763"/>
    <n v="77561000"/>
    <n v="225.17"/>
    <n v="2903"/>
    <n v="12635000"/>
    <n v="0.90862213607961118"/>
    <n v="9.1377863920388797E-2"/>
  </r>
  <r>
    <x v="6"/>
    <d v="2020-06-12T00:00:00"/>
    <x v="4"/>
    <n v="6"/>
    <n v="12"/>
    <n v="136509000"/>
    <n v="124631000"/>
    <n v="123984000"/>
    <n v="63110000"/>
    <n v="60874000"/>
    <n v="1276240000"/>
    <n v="92162000"/>
    <n v="255"/>
    <n v="2767"/>
    <n v="76725000"/>
    <n v="223.01"/>
    <n v="2907"/>
    <n v="12525000"/>
    <n v="0.90824780783684589"/>
    <n v="9.1752192163154084E-2"/>
  </r>
  <r>
    <x v="6"/>
    <d v="2020-06-05T00:00:00"/>
    <x v="4"/>
    <n v="6"/>
    <n v="5"/>
    <n v="135229000"/>
    <n v="122870000"/>
    <n v="122426000"/>
    <n v="62119000"/>
    <n v="60307000"/>
    <n v="1254002000"/>
    <n v="91383000"/>
    <n v="253"/>
    <n v="2769"/>
    <n v="76092000"/>
    <n v="221.31"/>
    <n v="2908"/>
    <n v="12803000"/>
    <n v="0.90532356225365862"/>
    <n v="9.4676437746341394E-2"/>
  </r>
  <r>
    <x v="0"/>
    <d v="2020-05-29T00:00:00"/>
    <x v="4"/>
    <n v="5"/>
    <n v="29"/>
    <n v="133811000"/>
    <n v="121163000"/>
    <n v="120947000"/>
    <n v="61189000"/>
    <n v="59758000"/>
    <n v="1229022000"/>
    <n v="90570000"/>
    <n v="250.91"/>
    <n v="2770"/>
    <n v="75427000"/>
    <n v="219.54"/>
    <n v="2911"/>
    <n v="12864000"/>
    <n v="0.90386440576634208"/>
    <n v="9.6135594233657917E-2"/>
  </r>
  <r>
    <x v="0"/>
    <d v="2020-05-22T00:00:00"/>
    <x v="4"/>
    <n v="5"/>
    <n v="22"/>
    <n v="132351000"/>
    <n v="119722000"/>
    <n v="119544000"/>
    <n v="60372000"/>
    <n v="59172000"/>
    <n v="1198616000"/>
    <n v="89840000"/>
    <n v="249.04"/>
    <n v="2772"/>
    <n v="74808000"/>
    <n v="217.92"/>
    <n v="2913"/>
    <n v="12807000"/>
    <n v="0.90323458077385133"/>
    <n v="9.6765419226148647E-2"/>
  </r>
  <r>
    <x v="0"/>
    <d v="2020-05-15T00:00:00"/>
    <x v="4"/>
    <n v="5"/>
    <n v="15"/>
    <n v="130496000"/>
    <n v="117918000"/>
    <n v="117814000"/>
    <n v="59355000"/>
    <n v="58459000"/>
    <n v="1156732000"/>
    <n v="88227000"/>
    <n v="245.08"/>
    <n v="2778"/>
    <n v="73425000"/>
    <n v="214.44"/>
    <n v="2921"/>
    <n v="12682000"/>
    <n v="0.90281694458067685"/>
    <n v="9.7183055419323192E-2"/>
  </r>
  <r>
    <x v="0"/>
    <d v="2020-05-08T00:00:00"/>
    <x v="4"/>
    <n v="5"/>
    <n v="8"/>
    <n v="128204000"/>
    <n v="115765000"/>
    <n v="115696000"/>
    <n v="58228000"/>
    <n v="57468000"/>
    <n v="1095606000"/>
    <n v="87663000"/>
    <n v="243.66"/>
    <n v="2779"/>
    <n v="72956000"/>
    <n v="213.22"/>
    <n v="2923"/>
    <n v="12508000"/>
    <n v="0.90243674144332475"/>
    <n v="9.7563258556675303E-2"/>
  </r>
  <r>
    <x v="0"/>
    <d v="2020-05-01T00:00:00"/>
    <x v="4"/>
    <n v="5"/>
    <n v="1"/>
    <n v="125474000"/>
    <n v="113095000"/>
    <n v="113110000"/>
    <n v="56965000"/>
    <n v="56145000"/>
    <n v="1020304000"/>
    <n v="86471000"/>
    <n v="240.45"/>
    <n v="2781"/>
    <n v="71977000"/>
    <n v="210.52"/>
    <n v="2925"/>
    <n v="12364000"/>
    <n v="0.9014616573951576"/>
    <n v="9.8538342604842441E-2"/>
  </r>
  <r>
    <x v="1"/>
    <d v="2020-04-24T00:00:00"/>
    <x v="4"/>
    <n v="4"/>
    <n v="24"/>
    <n v="121892000"/>
    <n v="110074000"/>
    <n v="110089000"/>
    <n v="55528000"/>
    <n v="54561000"/>
    <n v="898329140"/>
    <n v="84771000"/>
    <n v="236.37"/>
    <n v="2788"/>
    <n v="70525000"/>
    <n v="206.99"/>
    <n v="2935"/>
    <n v="11803000"/>
    <n v="0.90316837856463095"/>
    <n v="9.6831621435369011E-2"/>
  </r>
  <r>
    <x v="1"/>
    <d v="2020-04-17T00:00:00"/>
    <x v="4"/>
    <n v="4"/>
    <n v="17"/>
    <n v="115961000"/>
    <n v="106637000"/>
    <n v="105991000"/>
    <n v="53651000"/>
    <n v="52340000"/>
    <n v="744739000"/>
    <n v="81349000"/>
    <n v="229.28"/>
    <n v="2818"/>
    <n v="68028000"/>
    <n v="201.61"/>
    <n v="2964"/>
    <n v="9970000"/>
    <n v="0.91402281801640206"/>
    <n v="8.5977181983597939E-2"/>
  </r>
  <r>
    <x v="1"/>
    <d v="2020-04-10T00:00:00"/>
    <x v="4"/>
    <n v="4"/>
    <n v="10"/>
    <n v="103986000"/>
    <n v="97828000"/>
    <n v="96798000"/>
    <n v="50511000"/>
    <n v="46287000"/>
    <n v="486977000"/>
    <n v="77252000"/>
    <n v="220.36"/>
    <n v="2852"/>
    <n v="64762000"/>
    <n v="194.23"/>
    <n v="2999"/>
    <n v="7188000"/>
    <n v="0.93087531013790314"/>
    <n v="6.9124689862096828E-2"/>
  </r>
  <r>
    <x v="1"/>
    <d v="2020-04-03T00:00:00"/>
    <x v="4"/>
    <n v="4"/>
    <n v="3"/>
    <n v="97366000"/>
    <n v="92509000"/>
    <n v="91448000"/>
    <n v="47672000"/>
    <n v="43776000"/>
    <n v="432444000"/>
    <n v="74055000"/>
    <n v="213.13"/>
    <n v="2878"/>
    <n v="62017000"/>
    <n v="187.9"/>
    <n v="3030"/>
    <n v="5918000"/>
    <n v="0.93921902922991596"/>
    <n v="6.0780970770084014E-2"/>
  </r>
  <r>
    <x v="2"/>
    <d v="2020-03-27T00:00:00"/>
    <x v="4"/>
    <n v="3"/>
    <n v="27"/>
    <n v="90617000"/>
    <n v="87001000"/>
    <n v="85559000"/>
    <n v="44501000"/>
    <n v="41058000"/>
    <n v="394715000"/>
    <n v="69931000"/>
    <n v="203.38"/>
    <n v="2908"/>
    <n v="59029000"/>
    <n v="180.49"/>
    <n v="3058"/>
    <n v="5058000"/>
    <n v="0.94418265888299102"/>
    <n v="5.5817341117008951E-2"/>
  </r>
  <r>
    <x v="2"/>
    <d v="2020-03-20T00:00:00"/>
    <x v="4"/>
    <n v="3"/>
    <n v="20"/>
    <n v="84222000"/>
    <n v="81158000"/>
    <n v="79688000"/>
    <n v="41003000"/>
    <n v="38685000"/>
    <n v="369251000"/>
    <n v="65097000"/>
    <n v="191.11"/>
    <n v="2936"/>
    <n v="55584000"/>
    <n v="171.16"/>
    <n v="3079"/>
    <n v="4534000"/>
    <n v="0.94616608487093634"/>
    <n v="5.3833915129063666E-2"/>
  </r>
  <r>
    <x v="2"/>
    <d v="2020-03-13T00:00:00"/>
    <x v="4"/>
    <n v="3"/>
    <n v="13"/>
    <n v="76191000"/>
    <n v="73497000"/>
    <n v="72309000"/>
    <n v="36336000"/>
    <n v="35973000"/>
    <n v="345662000"/>
    <n v="59235000"/>
    <n v="176.09"/>
    <n v="2973"/>
    <n v="51456000"/>
    <n v="159.79"/>
    <n v="3105"/>
    <n v="3882000"/>
    <n v="0.9490491002874355"/>
    <n v="5.0950899712564474E-2"/>
  </r>
  <r>
    <x v="2"/>
    <d v="2020-03-06T00:00:00"/>
    <x v="4"/>
    <n v="3"/>
    <n v="6"/>
    <n v="67998000"/>
    <n v="65018000"/>
    <n v="64806000"/>
    <n v="31430000"/>
    <n v="33376000"/>
    <n v="321393000"/>
    <n v="52721000"/>
    <n v="158.81"/>
    <n v="3012"/>
    <n v="46870000"/>
    <n v="146.65"/>
    <n v="3129"/>
    <n v="3192000"/>
    <n v="0.95305744286596661"/>
    <n v="4.6942557134033357E-2"/>
  </r>
  <r>
    <x v="3"/>
    <d v="2020-02-28T00:00:00"/>
    <x v="4"/>
    <n v="2"/>
    <n v="28"/>
    <n v="59305000"/>
    <n v="57085000"/>
    <n v="56736000"/>
    <n v="26410000"/>
    <n v="30326000"/>
    <n v="291906000"/>
    <n v="45552000"/>
    <n v="139.59"/>
    <n v="3064"/>
    <n v="42636000"/>
    <n v="134.19999999999999"/>
    <n v="3148"/>
    <n v="2569000"/>
    <n v="0.95668156141977911"/>
    <n v="4.3318438580220893E-2"/>
  </r>
  <r>
    <x v="3"/>
    <d v="2020-02-21T00:00:00"/>
    <x v="4"/>
    <n v="2"/>
    <n v="21"/>
    <n v="49888000"/>
    <n v="48052000"/>
    <n v="48012000"/>
    <n v="21261000"/>
    <n v="26751000"/>
    <n v="242330000"/>
    <n v="37454000"/>
    <n v="117.06"/>
    <n v="3125"/>
    <n v="35422000"/>
    <n v="113.37"/>
    <n v="3200"/>
    <n v="1876000"/>
    <n v="0.9623957665169981"/>
    <n v="3.7604233483001924E-2"/>
  </r>
  <r>
    <x v="3"/>
    <d v="2020-02-14T00:00:00"/>
    <x v="4"/>
    <n v="2"/>
    <n v="14"/>
    <n v="39622000"/>
    <n v="38319000"/>
    <n v="38368000"/>
    <n v="16024000"/>
    <n v="22344000"/>
    <n v="165294000"/>
    <n v="18166000"/>
    <n v="36.57"/>
    <n v="2013"/>
    <n v="17094000"/>
    <n v="35.270000000000003"/>
    <n v="2064"/>
    <n v="1254000"/>
    <n v="0.9683509161576902"/>
    <n v="3.1649083842309828E-2"/>
  </r>
  <r>
    <x v="3"/>
    <d v="2020-02-07T00:00:00"/>
    <x v="4"/>
    <n v="2"/>
    <n v="7"/>
    <n v="28662000"/>
    <n v="27542000"/>
    <n v="27774000"/>
    <n v="10592000"/>
    <n v="17182000"/>
    <n v="110871000"/>
    <n v="10837000"/>
    <n v="21.16"/>
    <n v="1952"/>
    <n v="10315000"/>
    <n v="20.58"/>
    <n v="1995"/>
    <n v="888000"/>
    <n v="0.96901821226711327"/>
    <n v="3.0981787732886748E-2"/>
  </r>
  <r>
    <x v="9"/>
    <d v="2020-01-31T00:00:00"/>
    <x v="4"/>
    <n v="1"/>
    <n v="31"/>
    <n v="15777000"/>
    <n v="12943000"/>
    <n v="15123000"/>
    <n v="5236000"/>
    <n v="9887000"/>
    <n v="68097000"/>
    <n v="4299000"/>
    <n v="8.0399999999999991"/>
    <n v="1869"/>
    <n v="4100000"/>
    <n v="7.85"/>
    <n v="1915"/>
    <n v="654000"/>
    <n v="0.95854725232934013"/>
    <n v="4.1452747670659824E-2"/>
  </r>
  <r>
    <x v="4"/>
    <d v="2019-12-27T00:00:00"/>
    <x v="5"/>
    <n v="12"/>
    <n v="27"/>
    <n v="155798000"/>
    <n v="155611000"/>
    <n v="138217000"/>
    <n v="80630000"/>
    <n v="57587000"/>
    <n v="652418000"/>
    <n v="112811000"/>
    <n v="322.81"/>
    <n v="2869"/>
    <n v="92059000"/>
    <n v="274.25"/>
    <n v="2979"/>
    <n v="17581000"/>
    <n v="0.88715516245394677"/>
    <n v="0.11284483754605322"/>
  </r>
  <r>
    <x v="4"/>
    <d v="2019-12-13T00:00:00"/>
    <x v="5"/>
    <n v="12"/>
    <n v="13"/>
    <n v="155660000"/>
    <n v="155429000"/>
    <n v="138217000"/>
    <n v="80630000"/>
    <n v="57587000"/>
    <n v="640367000"/>
    <n v="112254000"/>
    <n v="322.18"/>
    <n v="2870"/>
    <n v="92021000"/>
    <n v="274.02"/>
    <n v="2978"/>
    <n v="17443000"/>
    <n v="0.88794166773737637"/>
    <n v="0.11205833226262367"/>
  </r>
  <r>
    <x v="7"/>
    <d v="2019-11-22T00:00:00"/>
    <x v="5"/>
    <n v="11"/>
    <n v="22"/>
    <n v="155402000"/>
    <n v="155096000"/>
    <n v="138217000"/>
    <n v="80630000"/>
    <n v="57587000"/>
    <n v="625522000"/>
    <n v="111596000"/>
    <n v="319.22000000000003"/>
    <n v="2860"/>
    <n v="91955000"/>
    <n v="273.52999999999997"/>
    <n v="2975"/>
    <n v="17185000"/>
    <n v="0.88941583763400733"/>
    <n v="0.11058416236599272"/>
  </r>
  <r>
    <x v="5"/>
    <d v="2019-10-18T00:00:00"/>
    <x v="5"/>
    <n v="10"/>
    <n v="18"/>
    <n v="154297000"/>
    <n v="153721000"/>
    <n v="137866000"/>
    <n v="80294000"/>
    <n v="57572000"/>
    <n v="596722000"/>
    <n v="110582000"/>
    <n v="307.56"/>
    <n v="2781"/>
    <n v="91544000"/>
    <n v="268.66000000000003"/>
    <n v="2935"/>
    <n v="16431000"/>
    <n v="0.89351056728257838"/>
    <n v="0.10648943271742159"/>
  </r>
  <r>
    <x v="8"/>
    <d v="2019-07-26T00:00:00"/>
    <x v="5"/>
    <n v="7"/>
    <n v="26"/>
    <n v="146342000"/>
    <n v="145750000"/>
    <n v="131169000"/>
    <n v="74455000"/>
    <n v="56714000"/>
    <n v="528394000"/>
    <n v="106240000"/>
    <n v="291.18"/>
    <n v="2741"/>
    <n v="89657000"/>
    <n v="258.95999999999998"/>
    <n v="2888"/>
    <n v="15173000"/>
    <n v="0.89631821349988383"/>
    <n v="0.10368178650011617"/>
  </r>
  <r>
    <x v="8"/>
    <d v="2019-07-19T00:00:00"/>
    <x v="5"/>
    <n v="7"/>
    <n v="19"/>
    <n v="145941000"/>
    <n v="145191000"/>
    <n v="130882000"/>
    <n v="74206000"/>
    <n v="56676000"/>
    <n v="522468000"/>
    <n v="105933000"/>
    <n v="290.25"/>
    <n v="2740"/>
    <n v="89507000"/>
    <n v="258.37"/>
    <n v="2887"/>
    <n v="15059000"/>
    <n v="0.89681446611987037"/>
    <n v="0.10318553388012965"/>
  </r>
  <r>
    <x v="8"/>
    <d v="2019-07-12T00:00:00"/>
    <x v="5"/>
    <n v="7"/>
    <n v="12"/>
    <n v="145678000"/>
    <n v="144789000"/>
    <n v="130725000"/>
    <n v="74073000"/>
    <n v="56652000"/>
    <n v="516311000"/>
    <n v="105635000"/>
    <n v="289.31"/>
    <n v="2739"/>
    <n v="89346000"/>
    <n v="257.77"/>
    <n v="2885"/>
    <n v="14953000"/>
    <n v="0.89735581213360971"/>
    <n v="0.10264418786639026"/>
  </r>
  <r>
    <x v="8"/>
    <d v="2019-07-05T00:00:00"/>
    <x v="5"/>
    <n v="7"/>
    <n v="5"/>
    <n v="145303000"/>
    <n v="144306000"/>
    <n v="130488000"/>
    <n v="73870000"/>
    <n v="56618000"/>
    <n v="510093000"/>
    <n v="105268000"/>
    <n v="288.07"/>
    <n v="2737"/>
    <n v="89152000"/>
    <n v="257"/>
    <n v="2883"/>
    <n v="14815000"/>
    <n v="0.89804064609815348"/>
    <n v="0.10195935390184649"/>
  </r>
  <r>
    <x v="6"/>
    <d v="2019-06-28T00:00:00"/>
    <x v="5"/>
    <n v="6"/>
    <n v="28"/>
    <n v="144990000"/>
    <n v="143765000"/>
    <n v="130292000"/>
    <n v="73706000"/>
    <n v="56586000"/>
    <n v="504950000"/>
    <n v="104959000"/>
    <n v="287.2"/>
    <n v="2736"/>
    <n v="89124000"/>
    <n v="256.89999999999998"/>
    <n v="2883"/>
    <n v="14698000"/>
    <n v="0.89862749155114141"/>
    <n v="0.10137250844885855"/>
  </r>
  <r>
    <x v="6"/>
    <d v="2019-06-21T00:00:00"/>
    <x v="5"/>
    <n v="6"/>
    <n v="21"/>
    <n v="144563000"/>
    <n v="142877000"/>
    <n v="130020000"/>
    <n v="73471000"/>
    <n v="56549000"/>
    <n v="498273000"/>
    <n v="104541000"/>
    <n v="285.94"/>
    <n v="2735"/>
    <n v="88909000"/>
    <n v="256.11"/>
    <n v="2881"/>
    <n v="14543000"/>
    <n v="0.89940026147769481"/>
    <n v="0.10059973852230515"/>
  </r>
  <r>
    <x v="6"/>
    <d v="2019-06-14T00:00:00"/>
    <x v="5"/>
    <n v="6"/>
    <n v="14"/>
    <n v="144125000"/>
    <n v="141870000"/>
    <n v="129721000"/>
    <n v="73217000"/>
    <n v="56504000"/>
    <n v="491279000"/>
    <n v="104452000"/>
    <n v="285.58"/>
    <n v="2734"/>
    <n v="88629000"/>
    <n v="255"/>
    <n v="2877"/>
    <n v="14404000"/>
    <n v="0.90005897658282741"/>
    <n v="9.9941023417172592E-2"/>
  </r>
  <r>
    <x v="6"/>
    <d v="2019-06-07T00:00:00"/>
    <x v="5"/>
    <n v="6"/>
    <n v="7"/>
    <n v="143650000"/>
    <n v="140825000"/>
    <n v="129387000"/>
    <n v="72931000"/>
    <n v="56456000"/>
    <n v="483914000"/>
    <n v="104047000"/>
    <n v="284.35000000000002"/>
    <n v="2733"/>
    <n v="88426000"/>
    <n v="254.24"/>
    <n v="2875"/>
    <n v="14263000"/>
    <n v="0.90071005917159763"/>
    <n v="9.9289940828402368E-2"/>
  </r>
  <r>
    <x v="0"/>
    <d v="2019-05-31T00:00:00"/>
    <x v="5"/>
    <n v="5"/>
    <n v="31"/>
    <n v="143166000"/>
    <n v="139732000"/>
    <n v="129052000"/>
    <n v="72647000"/>
    <n v="56405000"/>
    <n v="476681000"/>
    <n v="103576000"/>
    <n v="282.82"/>
    <n v="2730"/>
    <n v="88141000"/>
    <n v="253.15"/>
    <n v="2872"/>
    <n v="14114000"/>
    <n v="0.90141514046631188"/>
    <n v="9.858485953368816E-2"/>
  </r>
  <r>
    <x v="0"/>
    <d v="2019-05-24T00:00:00"/>
    <x v="5"/>
    <n v="5"/>
    <n v="24"/>
    <n v="142737000"/>
    <n v="138803000"/>
    <n v="128741000"/>
    <n v="72389000"/>
    <n v="56352000"/>
    <n v="469696000"/>
    <n v="103112000"/>
    <n v="281.41000000000003"/>
    <n v="2729"/>
    <n v="87859000"/>
    <n v="252.18"/>
    <n v="2870"/>
    <n v="13996000"/>
    <n v="0.90194553619594076"/>
    <n v="9.8054463804059216E-2"/>
  </r>
  <r>
    <x v="0"/>
    <d v="2019-05-17T00:00:00"/>
    <x v="5"/>
    <n v="5"/>
    <n v="17"/>
    <n v="142200000"/>
    <n v="137633000"/>
    <n v="128373000"/>
    <n v="72084000"/>
    <n v="56289000"/>
    <n v="461982000"/>
    <n v="102504000"/>
    <n v="279.64999999999998"/>
    <n v="2728"/>
    <n v="87496000"/>
    <n v="251"/>
    <n v="2869"/>
    <n v="13827000"/>
    <n v="0.90276371308016878"/>
    <n v="9.723628691983123E-2"/>
  </r>
  <r>
    <x v="0"/>
    <d v="2019-05-10T00:00:00"/>
    <x v="5"/>
    <n v="5"/>
    <n v="10"/>
    <n v="141567000"/>
    <n v="136139000"/>
    <n v="127939000"/>
    <n v="71725000"/>
    <n v="56214000"/>
    <n v="453360000"/>
    <n v="101590000"/>
    <n v="277.26"/>
    <n v="2729"/>
    <n v="86965000"/>
    <n v="249.43"/>
    <n v="2868"/>
    <n v="13628000"/>
    <n v="0.90373462742023214"/>
    <n v="9.6265372579767888E-2"/>
  </r>
  <r>
    <x v="0"/>
    <d v="2019-05-03T00:00:00"/>
    <x v="5"/>
    <n v="5"/>
    <n v="3"/>
    <n v="141001000"/>
    <n v="134744000"/>
    <n v="127513000"/>
    <n v="71392000"/>
    <n v="56121000"/>
    <n v="444213000"/>
    <n v="100430000"/>
    <n v="274.33"/>
    <n v="2732"/>
    <n v="86320000"/>
    <n v="247.62"/>
    <n v="2869"/>
    <n v="13488000"/>
    <n v="0.90434110396380163"/>
    <n v="9.5658896036198329E-2"/>
  </r>
  <r>
    <x v="1"/>
    <d v="2019-04-26T00:00:00"/>
    <x v="5"/>
    <n v="4"/>
    <n v="26"/>
    <n v="139364000"/>
    <n v="132763000"/>
    <n v="126961000"/>
    <n v="70969000"/>
    <n v="55992000"/>
    <n v="433675000"/>
    <n v="98952000"/>
    <n v="270"/>
    <n v="2729"/>
    <n v="85456000"/>
    <n v="244.81"/>
    <n v="2865"/>
    <n v="12403000"/>
    <n v="0.91100284147986565"/>
    <n v="8.8997158520134331E-2"/>
  </r>
  <r>
    <x v="1"/>
    <d v="2019-04-19T00:00:00"/>
    <x v="5"/>
    <n v="4"/>
    <n v="19"/>
    <n v="137233000"/>
    <n v="130775000"/>
    <n v="126264000"/>
    <n v="70476000"/>
    <n v="55788000"/>
    <n v="421514000"/>
    <n v="95737000"/>
    <n v="260.92"/>
    <n v="2725"/>
    <n v="83249000"/>
    <n v="238.38"/>
    <n v="2863"/>
    <n v="10969000"/>
    <n v="0.92007024549488825"/>
    <n v="7.992975450511175E-2"/>
  </r>
  <r>
    <x v="1"/>
    <d v="2019-04-12T00:00:00"/>
    <x v="5"/>
    <n v="4"/>
    <n v="12"/>
    <n v="119427000"/>
    <n v="115742000"/>
    <n v="111368000"/>
    <n v="63248000"/>
    <n v="48120000"/>
    <n v="399465000"/>
    <n v="84435000"/>
    <n v="235.98"/>
    <n v="2795"/>
    <n v="74617000"/>
    <n v="218.22"/>
    <n v="2924"/>
    <n v="8059000"/>
    <n v="0.93251944702621681"/>
    <n v="6.7480552973783151E-2"/>
  </r>
  <r>
    <x v="1"/>
    <d v="2019-04-05T00:00:00"/>
    <x v="5"/>
    <n v="4"/>
    <n v="5"/>
    <n v="103460000"/>
    <n v="100572000"/>
    <n v="96844000"/>
    <n v="53839000"/>
    <n v="43005000"/>
    <n v="376700000"/>
    <n v="77925000"/>
    <n v="220.76"/>
    <n v="2833"/>
    <n v="69094000"/>
    <n v="204.59"/>
    <n v="2961"/>
    <n v="6616000"/>
    <n v="0.93605258070751984"/>
    <n v="6.3947419292480184E-2"/>
  </r>
  <r>
    <x v="2"/>
    <d v="2019-03-29T00:00:00"/>
    <x v="5"/>
    <n v="3"/>
    <n v="29"/>
    <n v="92861000"/>
    <n v="90280000"/>
    <n v="87288000"/>
    <n v="47430000"/>
    <n v="39858000"/>
    <n v="358112000"/>
    <n v="71755000"/>
    <n v="206.15"/>
    <n v="2873"/>
    <n v="64252000"/>
    <n v="192.43"/>
    <n v="2995"/>
    <n v="5573000"/>
    <n v="0.93998556983017634"/>
    <n v="6.0014430169823718E-2"/>
  </r>
  <r>
    <x v="2"/>
    <d v="2019-03-22T00:00:00"/>
    <x v="5"/>
    <n v="3"/>
    <n v="22"/>
    <n v="84075000"/>
    <n v="81562000"/>
    <n v="79236000"/>
    <n v="41911000"/>
    <n v="37325000"/>
    <n v="339939000"/>
    <n v="65836000"/>
    <n v="191.89"/>
    <n v="2915"/>
    <n v="59521000"/>
    <n v="180.35"/>
    <n v="3030"/>
    <n v="4839000"/>
    <n v="0.94244424620874223"/>
    <n v="5.7555753791257803E-2"/>
  </r>
  <r>
    <x v="2"/>
    <d v="2019-03-15T00:00:00"/>
    <x v="5"/>
    <n v="3"/>
    <n v="15"/>
    <n v="75881000"/>
    <n v="73528000"/>
    <n v="71815000"/>
    <n v="36868000"/>
    <n v="34947000"/>
    <n v="320712000"/>
    <n v="59916000"/>
    <n v="177.19"/>
    <n v="2957"/>
    <n v="54683000"/>
    <n v="167.63"/>
    <n v="3065"/>
    <n v="4066000"/>
    <n v="0.94641609889168565"/>
    <n v="5.3583901108314333E-2"/>
  </r>
  <r>
    <x v="2"/>
    <d v="2019-03-08T00:00:00"/>
    <x v="5"/>
    <n v="3"/>
    <n v="8"/>
    <n v="67721000"/>
    <n v="65314000"/>
    <n v="64299000"/>
    <n v="31942000"/>
    <n v="32357000"/>
    <n v="298601000"/>
    <n v="53487000"/>
    <n v="160.87"/>
    <n v="3008"/>
    <n v="49320000"/>
    <n v="153.26"/>
    <n v="3107"/>
    <n v="3422000"/>
    <n v="0.94946914546447925"/>
    <n v="5.0530854535520739E-2"/>
  </r>
  <r>
    <x v="2"/>
    <d v="2019-03-01T00:00:00"/>
    <x v="5"/>
    <n v="3"/>
    <n v="1"/>
    <n v="59223000"/>
    <n v="56875000"/>
    <n v="56494000"/>
    <n v="27017000"/>
    <n v="29477000"/>
    <n v="272602000"/>
    <n v="46416000"/>
    <n v="142.4"/>
    <n v="3068"/>
    <n v="43241000"/>
    <n v="136.6"/>
    <n v="3159"/>
    <n v="2729000"/>
    <n v="0.95391992975702011"/>
    <n v="4.6080070242979922E-2"/>
  </r>
  <r>
    <x v="3"/>
    <d v="2019-02-22T00:00:00"/>
    <x v="5"/>
    <n v="2"/>
    <n v="22"/>
    <n v="49923000"/>
    <n v="47700000"/>
    <n v="47866000"/>
    <n v="21869000"/>
    <n v="25997000"/>
    <n v="232545000"/>
    <n v="38566000"/>
    <n v="121.2"/>
    <n v="3143"/>
    <n v="36329000"/>
    <n v="117.19"/>
    <n v="3226"/>
    <n v="2057000"/>
    <n v="0.95879654668189007"/>
    <n v="4.1203453318109887E-2"/>
  </r>
  <r>
    <x v="3"/>
    <d v="2019-02-15T00:00:00"/>
    <x v="5"/>
    <n v="2"/>
    <n v="15"/>
    <n v="39747000"/>
    <n v="37810000"/>
    <n v="38357000"/>
    <n v="16583000"/>
    <n v="21774000"/>
    <n v="161706000"/>
    <n v="23485000"/>
    <n v="61.99"/>
    <n v="2640"/>
    <n v="22141000"/>
    <n v="59.85"/>
    <n v="2703"/>
    <n v="1390000"/>
    <n v="0.96502880720557527"/>
    <n v="3.4971192794424739E-2"/>
  </r>
  <r>
    <x v="3"/>
    <d v="2019-02-08T00:00:00"/>
    <x v="5"/>
    <n v="2"/>
    <n v="8"/>
    <n v="28764000"/>
    <n v="26965000"/>
    <n v="27602000"/>
    <n v="11001000"/>
    <n v="16601000"/>
    <n v="106390000"/>
    <n v="11381000"/>
    <n v="22.18"/>
    <n v="1949"/>
    <n v="10790000"/>
    <n v="21.53"/>
    <n v="1996"/>
    <n v="1162000"/>
    <n v="0.95960228062856345"/>
    <n v="4.0397719371436519E-2"/>
  </r>
  <r>
    <x v="3"/>
    <d v="2019-02-01T00:00:00"/>
    <x v="5"/>
    <n v="2"/>
    <n v="1"/>
    <n v="16035000"/>
    <n v="13306000"/>
    <n v="15222000"/>
    <n v="5440000"/>
    <n v="9782000"/>
    <n v="66310000"/>
    <n v="4672000"/>
    <n v="8.7100000000000009"/>
    <n v="1865"/>
    <n v="4476000"/>
    <n v="8.51"/>
    <n v="1901"/>
    <n v="813000"/>
    <n v="0.94929840972871837"/>
    <n v="5.0701590271281571E-2"/>
  </r>
  <r>
    <x v="4"/>
    <d v="2018-12-28T00:00:00"/>
    <x v="6"/>
    <n v="12"/>
    <n v="28"/>
    <n v="154865000"/>
    <n v="154539000"/>
    <n v="135459000"/>
    <n v="80286000"/>
    <n v="55173000"/>
    <n v="611580000"/>
    <n v="112154000"/>
    <n v="326.33"/>
    <n v="2910"/>
    <n v="90164000"/>
    <n v="273.7"/>
    <n v="3036"/>
    <n v="19406000"/>
    <n v="0.87469085978109962"/>
    <n v="0.12530914021890033"/>
  </r>
  <r>
    <x v="7"/>
    <d v="2018-11-23T00:00:00"/>
    <x v="6"/>
    <n v="11"/>
    <n v="23"/>
    <n v="154444000"/>
    <n v="154058000"/>
    <n v="135459000"/>
    <n v="80286000"/>
    <n v="55173000"/>
    <n v="585027000"/>
    <n v="111911000"/>
    <n v="324.43"/>
    <n v="2899"/>
    <n v="90067000"/>
    <n v="272.98"/>
    <n v="3031"/>
    <n v="18985000"/>
    <n v="0.87707518582787292"/>
    <n v="0.12292481417212711"/>
  </r>
  <r>
    <x v="5"/>
    <d v="2018-10-19T00:00:00"/>
    <x v="6"/>
    <n v="10"/>
    <n v="19"/>
    <n v="153383000"/>
    <n v="152827000"/>
    <n v="135154000"/>
    <n v="79990000"/>
    <n v="55164000"/>
    <n v="559158000"/>
    <n v="110806000"/>
    <n v="312.97000000000003"/>
    <n v="2825"/>
    <n v="89537000"/>
    <n v="267.8"/>
    <n v="2991"/>
    <n v="18229000"/>
    <n v="0.88115371325375047"/>
    <n v="0.11884628674624959"/>
  </r>
  <r>
    <x v="10"/>
    <d v="2018-08-31T00:00:00"/>
    <x v="6"/>
    <n v="8"/>
    <n v="31"/>
    <n v="147358000"/>
    <n v="147058000"/>
    <n v="129931000"/>
    <n v="75423000"/>
    <n v="54508000"/>
    <n v="520207937"/>
    <n v="108757000"/>
    <n v="303.76"/>
    <n v="2793"/>
    <n v="88494000"/>
    <n v="262.38"/>
    <n v="2965"/>
    <n v="17427000"/>
    <n v="0.88173699425887975"/>
    <n v="0.11826300574112027"/>
  </r>
  <r>
    <x v="0"/>
    <d v="2018-05-11T00:00:00"/>
    <x v="6"/>
    <n v="5"/>
    <n v="11"/>
    <n v="141531000"/>
    <n v="135883000"/>
    <n v="126040000"/>
    <n v="72111000"/>
    <n v="53929000"/>
    <n v="419004000"/>
    <n v="102582000"/>
    <n v="284.93"/>
    <n v="2778"/>
    <n v="85297000"/>
    <n v="250.73"/>
    <n v="2940"/>
    <n v="15491000"/>
    <n v="0.89054694731189632"/>
    <n v="0.10945305268810367"/>
  </r>
  <r>
    <x v="0"/>
    <d v="2018-05-04T00:00:00"/>
    <x v="6"/>
    <n v="5"/>
    <n v="4"/>
    <n v="140895000"/>
    <n v="134268000"/>
    <n v="125637000"/>
    <n v="71788000"/>
    <n v="53849000"/>
    <n v="410052000"/>
    <n v="101372000"/>
    <n v="281.51"/>
    <n v="2777"/>
    <n v="84632000"/>
    <n v="248.63"/>
    <n v="2938"/>
    <n v="15258000"/>
    <n v="0.89170659001384012"/>
    <n v="0.10829340998615991"/>
  </r>
  <r>
    <x v="1"/>
    <d v="2018-04-27T00:00:00"/>
    <x v="6"/>
    <n v="4"/>
    <n v="27"/>
    <n v="139903000"/>
    <n v="132550000"/>
    <n v="125161000"/>
    <n v="71425000"/>
    <n v="53736000"/>
    <n v="399502000"/>
    <n v="99511000"/>
    <n v="275.73"/>
    <n v="2771"/>
    <n v="83458000"/>
    <n v="244.69"/>
    <n v="2932"/>
    <n v="14742000"/>
    <n v="0.89462699155843695"/>
    <n v="0.10537300844156308"/>
  </r>
  <r>
    <x v="1"/>
    <d v="2018-04-20T00:00:00"/>
    <x v="6"/>
    <n v="4"/>
    <n v="20"/>
    <n v="136919000"/>
    <n v="130477000"/>
    <n v="124515000"/>
    <n v="70983000"/>
    <n v="53532000"/>
    <n v="386895000"/>
    <n v="95434000"/>
    <n v="265.33"/>
    <n v="2780"/>
    <n v="80491000"/>
    <n v="236.85"/>
    <n v="2943"/>
    <n v="12404000"/>
    <n v="0.9094062913109211"/>
    <n v="9.0593708689078942E-2"/>
  </r>
  <r>
    <x v="1"/>
    <d v="2018-04-13T00:00:00"/>
    <x v="6"/>
    <n v="4"/>
    <n v="13"/>
    <n v="118580000"/>
    <n v="114817000"/>
    <n v="109006000"/>
    <n v="62975000"/>
    <n v="46031000"/>
    <n v="363095000"/>
    <n v="86039000"/>
    <n v="243.59"/>
    <n v="2831"/>
    <n v="73484000"/>
    <n v="219.41"/>
    <n v="2986"/>
    <n v="9574000"/>
    <n v="0.91926125822229721"/>
    <n v="8.0738741777702822E-2"/>
  </r>
  <r>
    <x v="1"/>
    <d v="2018-04-06T00:00:00"/>
    <x v="6"/>
    <n v="4"/>
    <n v="6"/>
    <n v="103762000"/>
    <n v="101082000"/>
    <n v="95899000"/>
    <n v="54283000"/>
    <n v="41616000"/>
    <n v="342057000"/>
    <n v="79100000"/>
    <n v="226.56"/>
    <n v="2864"/>
    <n v="68220000"/>
    <n v="205.56"/>
    <n v="3013"/>
    <n v="7863000"/>
    <n v="0.92422081301439829"/>
    <n v="7.5779186985601668E-2"/>
  </r>
  <r>
    <x v="2"/>
    <d v="2018-03-30T00:00:00"/>
    <x v="6"/>
    <n v="3"/>
    <n v="30"/>
    <n v="94139000"/>
    <n v="91593000"/>
    <n v="87328000"/>
    <n v="48374000"/>
    <n v="38954000"/>
    <n v="324355000"/>
    <n v="73396000"/>
    <n v="212.32"/>
    <n v="2893"/>
    <n v="63847000"/>
    <n v="193.85"/>
    <n v="3036"/>
    <n v="6811000"/>
    <n v="0.92764953951072349"/>
    <n v="7.23504604892765E-2"/>
  </r>
  <r>
    <x v="2"/>
    <d v="2018-03-23T00:00:00"/>
    <x v="6"/>
    <n v="3"/>
    <n v="23"/>
    <n v="85689000"/>
    <n v="83286000"/>
    <n v="79780000"/>
    <n v="43094000"/>
    <n v="36686000"/>
    <n v="307121000"/>
    <n v="67599000"/>
    <n v="197.7"/>
    <n v="2925"/>
    <n v="59313000"/>
    <n v="181.6"/>
    <n v="3062"/>
    <n v="5909000"/>
    <n v="0.93104132385720451"/>
    <n v="6.8958676142795453E-2"/>
  </r>
  <r>
    <x v="2"/>
    <d v="2018-03-16T00:00:00"/>
    <x v="6"/>
    <n v="3"/>
    <n v="16"/>
    <n v="77795000"/>
    <n v="75307000"/>
    <n v="72732000"/>
    <n v="38245000"/>
    <n v="34487000"/>
    <n v="288340000"/>
    <n v="61739000"/>
    <n v="182.77"/>
    <n v="2960"/>
    <n v="54602000"/>
    <n v="168.8"/>
    <n v="3091"/>
    <n v="5063000"/>
    <n v="0.93491869657433002"/>
    <n v="6.5081303425670034E-2"/>
  </r>
  <r>
    <x v="2"/>
    <d v="2018-03-09T00:00:00"/>
    <x v="6"/>
    <n v="3"/>
    <n v="9"/>
    <n v="69484000"/>
    <n v="67183000"/>
    <n v="65270000"/>
    <n v="33495000"/>
    <n v="31775000"/>
    <n v="267117000"/>
    <n v="55327000"/>
    <n v="166.19"/>
    <n v="3004"/>
    <n v="49357000"/>
    <n v="154.35"/>
    <n v="3127"/>
    <n v="4214000"/>
    <n v="0.93935294456277707"/>
    <n v="6.0647055437222958E-2"/>
  </r>
  <r>
    <x v="2"/>
    <d v="2018-03-02T00:00:00"/>
    <x v="6"/>
    <n v="3"/>
    <n v="2"/>
    <n v="61150000"/>
    <n v="59048000"/>
    <n v="57794000"/>
    <n v="28688000"/>
    <n v="29106000"/>
    <n v="242891000"/>
    <n v="48452000"/>
    <n v="147.58000000000001"/>
    <n v="3046"/>
    <n v="43549000"/>
    <n v="137.72"/>
    <n v="3162"/>
    <n v="3356000"/>
    <n v="0.94511856091578084"/>
    <n v="5.4881439084219136E-2"/>
  </r>
  <r>
    <x v="3"/>
    <d v="2018-02-23T00:00:00"/>
    <x v="6"/>
    <n v="2"/>
    <n v="23"/>
    <n v="51740000"/>
    <n v="49992000"/>
    <n v="49192000"/>
    <n v="23438000"/>
    <n v="25754000"/>
    <n v="213117000"/>
    <n v="40504000"/>
    <n v="125.67"/>
    <n v="3103"/>
    <n v="37731000"/>
    <n v="120.69"/>
    <n v="3199"/>
    <n v="2548000"/>
    <n v="0.95075376884422114"/>
    <n v="4.9246231155778891E-2"/>
  </r>
  <r>
    <x v="3"/>
    <d v="2018-02-16T00:00:00"/>
    <x v="6"/>
    <n v="2"/>
    <n v="16"/>
    <n v="41738000"/>
    <n v="40470000"/>
    <n v="39882000"/>
    <n v="18126000"/>
    <n v="21756000"/>
    <n v="167163000"/>
    <n v="31937000"/>
    <n v="101.21"/>
    <n v="3169"/>
    <n v="30040000"/>
    <n v="97.82"/>
    <n v="3256"/>
    <n v="1856000"/>
    <n v="0.95553212899516027"/>
    <n v="4.4467871004839711E-2"/>
  </r>
  <r>
    <x v="3"/>
    <d v="2018-02-09T00:00:00"/>
    <x v="6"/>
    <n v="2"/>
    <n v="9"/>
    <n v="30881000"/>
    <n v="30016000"/>
    <n v="29724000"/>
    <n v="12575000"/>
    <n v="17149000"/>
    <n v="114218000"/>
    <n v="13517000"/>
    <n v="28.86"/>
    <n v="2135"/>
    <n v="12685000"/>
    <n v="27.88"/>
    <n v="2198"/>
    <n v="1157000"/>
    <n v="0.96253359670995109"/>
    <n v="3.7466403290048897E-2"/>
  </r>
  <r>
    <x v="3"/>
    <d v="2018-02-02T00:00:00"/>
    <x v="6"/>
    <n v="2"/>
    <n v="2"/>
    <n v="18302000"/>
    <n v="17931000"/>
    <n v="17518000"/>
    <n v="6744000"/>
    <n v="10774000"/>
    <n v="74401000"/>
    <n v="6171000"/>
    <n v="12.56"/>
    <n v="2035"/>
    <n v="5860000"/>
    <n v="12.21"/>
    <n v="2084"/>
    <n v="784000"/>
    <n v="0.95716315156813458"/>
    <n v="4.2836848431865367E-2"/>
  </r>
  <r>
    <x v="4"/>
    <d v="2017-12-29T00:00:00"/>
    <x v="7"/>
    <n v="12"/>
    <n v="29"/>
    <n v="152235000"/>
    <n v="151916000"/>
    <n v="132319000"/>
    <n v="78924000"/>
    <n v="53395000"/>
    <n v="502095254"/>
    <n v="111873000"/>
    <n v="323.88"/>
    <n v="2895"/>
    <n v="89485000"/>
    <n v="270.82"/>
    <n v="3026"/>
    <n v="19916000"/>
    <n v="0.86917594508490159"/>
    <n v="0.13082405491509838"/>
  </r>
  <r>
    <x v="7"/>
    <d v="2017-11-24T00:00:00"/>
    <x v="7"/>
    <n v="11"/>
    <n v="24"/>
    <n v="151825000"/>
    <n v="151446000"/>
    <n v="132319000"/>
    <n v="78924000"/>
    <n v="53395000"/>
    <n v="475315554"/>
    <n v="111709000"/>
    <n v="322.60000000000002"/>
    <n v="2888"/>
    <n v="89402000"/>
    <n v="270.25"/>
    <n v="3023"/>
    <n v="19506000"/>
    <n v="0.87152313518853941"/>
    <n v="0.12847686481146056"/>
  </r>
  <r>
    <x v="5"/>
    <d v="2017-10-20T00:00:00"/>
    <x v="7"/>
    <n v="10"/>
    <n v="20"/>
    <n v="150838000"/>
    <n v="150177000"/>
    <n v="131948000"/>
    <n v="78567000"/>
    <n v="53381000"/>
    <n v="451232430"/>
    <n v="110800000"/>
    <n v="312"/>
    <n v="2816"/>
    <n v="89099000"/>
    <n v="266.2"/>
    <n v="2988"/>
    <n v="18890000"/>
    <n v="0.87476630557286628"/>
    <n v="0.12523369442713375"/>
  </r>
  <r>
    <x v="11"/>
    <d v="2017-09-01T00:00:00"/>
    <x v="7"/>
    <n v="9"/>
    <n v="1"/>
    <n v="145329000"/>
    <n v="145070000"/>
    <n v="127277000"/>
    <n v="74512000"/>
    <n v="52765000"/>
    <n v="417407116"/>
    <n v="108761000"/>
    <n v="302.52999999999997"/>
    <n v="2782"/>
    <n v="88052000"/>
    <n v="260.74"/>
    <n v="2961"/>
    <n v="18052000"/>
    <n v="0.8757852871759938"/>
    <n v="0.12421471282400622"/>
  </r>
  <r>
    <x v="0"/>
    <d v="2017-05-12T00:00:00"/>
    <x v="7"/>
    <n v="5"/>
    <n v="12"/>
    <n v="139586000"/>
    <n v="134192000"/>
    <n v="123634000"/>
    <n v="71463000"/>
    <n v="52171000"/>
    <n v="336315094"/>
    <n v="102863000"/>
    <n v="284.86"/>
    <n v="2769"/>
    <n v="85067000"/>
    <n v="250.08"/>
    <n v="2940"/>
    <n v="15952000"/>
    <n v="0.88571919820039258"/>
    <n v="0.11428080179960741"/>
  </r>
  <r>
    <x v="0"/>
    <d v="2017-05-05T00:00:00"/>
    <x v="7"/>
    <n v="5"/>
    <n v="5"/>
    <n v="138945000"/>
    <n v="132509000"/>
    <n v="123239000"/>
    <n v="71154000"/>
    <n v="52085000"/>
    <n v="329420774"/>
    <n v="101641000"/>
    <n v="281.66000000000003"/>
    <n v="2771"/>
    <n v="84424000"/>
    <n v="248.2"/>
    <n v="2940"/>
    <n v="15706000"/>
    <n v="0.88696246716326599"/>
    <n v="0.11303753283673396"/>
  </r>
  <r>
    <x v="1"/>
    <d v="2017-04-28T00:00:00"/>
    <x v="7"/>
    <n v="4"/>
    <n v="28"/>
    <n v="137496000"/>
    <n v="130862000"/>
    <n v="122782000"/>
    <n v="70815000"/>
    <n v="51967000"/>
    <n v="321661687"/>
    <n v="100124000"/>
    <n v="276.79000000000002"/>
    <n v="2764"/>
    <n v="83600000"/>
    <n v="245.27"/>
    <n v="2934"/>
    <n v="14714000"/>
    <n v="0.89298597777389888"/>
    <n v="0.10701402222610112"/>
  </r>
  <r>
    <x v="1"/>
    <d v="2017-04-21T00:00:00"/>
    <x v="7"/>
    <n v="4"/>
    <n v="21"/>
    <n v="135638000"/>
    <n v="128847000"/>
    <n v="122164000"/>
    <n v="70401000"/>
    <n v="51763000"/>
    <n v="312255666"/>
    <n v="97104000"/>
    <n v="268.3"/>
    <n v="2763"/>
    <n v="81646000"/>
    <n v="239.41"/>
    <n v="2932"/>
    <n v="13474000"/>
    <n v="0.90066205635588847"/>
    <n v="9.9337943644111526E-2"/>
  </r>
  <r>
    <x v="1"/>
    <d v="2017-04-14T00:00:00"/>
    <x v="7"/>
    <n v="4"/>
    <n v="14"/>
    <n v="118463000"/>
    <n v="115069000"/>
    <n v="108559000"/>
    <n v="63357000"/>
    <n v="45202000"/>
    <n v="294014055"/>
    <n v="87529000"/>
    <n v="246.41"/>
    <n v="2815"/>
    <n v="74644000"/>
    <n v="222.31"/>
    <n v="2978"/>
    <n v="9904000"/>
    <n v="0.91639583667474234"/>
    <n v="8.3604163325257677E-2"/>
  </r>
  <r>
    <x v="1"/>
    <d v="2017-04-07T00:00:00"/>
    <x v="7"/>
    <n v="4"/>
    <n v="7"/>
    <n v="103612000"/>
    <n v="101028000"/>
    <n v="95458000"/>
    <n v="54720000"/>
    <n v="40738000"/>
    <n v="276082236"/>
    <n v="80296000"/>
    <n v="228.95"/>
    <n v="2851"/>
    <n v="69293000"/>
    <n v="208.48"/>
    <n v="3009"/>
    <n v="8154000"/>
    <n v="0.9213025518279736"/>
    <n v="7.869744817202641E-2"/>
  </r>
  <r>
    <x v="2"/>
    <d v="2017-03-31T00:00:00"/>
    <x v="7"/>
    <n v="3"/>
    <n v="31"/>
    <n v="93675000"/>
    <n v="91297000"/>
    <n v="86595000"/>
    <n v="48646000"/>
    <n v="37949000"/>
    <n v="261081385"/>
    <n v="74196000"/>
    <n v="213.57"/>
    <n v="2878"/>
    <n v="64694000"/>
    <n v="196.08"/>
    <n v="3031"/>
    <n v="7080000"/>
    <n v="0.92441953562850276"/>
    <n v="7.5580464371497194E-2"/>
  </r>
  <r>
    <x v="2"/>
    <d v="2017-03-24T00:00:00"/>
    <x v="7"/>
    <n v="3"/>
    <n v="24"/>
    <n v="85251000"/>
    <n v="82990000"/>
    <n v="79125000"/>
    <n v="43395000"/>
    <n v="35730000"/>
    <n v="246382030"/>
    <n v="68348000"/>
    <n v="197.98"/>
    <n v="2987"/>
    <n v="60194000"/>
    <n v="183.21"/>
    <n v="3044"/>
    <n v="6126000"/>
    <n v="0.92814160537706303"/>
    <n v="7.1858394622936972E-2"/>
  </r>
  <r>
    <x v="2"/>
    <d v="2017-03-17T00:00:00"/>
    <x v="7"/>
    <n v="3"/>
    <n v="17"/>
    <n v="77475000"/>
    <n v="75208000"/>
    <n v="72205000"/>
    <n v="38548000"/>
    <n v="33657000"/>
    <n v="231360122"/>
    <n v="62494000"/>
    <n v="183.16"/>
    <n v="2931"/>
    <n v="55589000"/>
    <n v="170.67"/>
    <n v="3070"/>
    <n v="5270000"/>
    <n v="0.9319780574378832"/>
    <n v="6.8021942562116813E-2"/>
  </r>
  <r>
    <x v="2"/>
    <d v="2017-03-10T00:00:00"/>
    <x v="7"/>
    <n v="3"/>
    <n v="10"/>
    <n v="69403000"/>
    <n v="67302000"/>
    <n v="64953000"/>
    <n v="34093000"/>
    <n v="30860000"/>
    <n v="214973517"/>
    <n v="56220000"/>
    <n v="167.15"/>
    <n v="2973"/>
    <n v="50499000"/>
    <n v="156.81"/>
    <n v="3105"/>
    <n v="4450000"/>
    <n v="0.93588173421898191"/>
    <n v="6.4118265781018105E-2"/>
  </r>
  <r>
    <x v="2"/>
    <d v="2017-03-03T00:00:00"/>
    <x v="7"/>
    <n v="3"/>
    <n v="3"/>
    <n v="61063000"/>
    <n v="59081000"/>
    <n v="57435000"/>
    <n v="29293000"/>
    <n v="28142000"/>
    <n v="196533468"/>
    <n v="49352000"/>
    <n v="148.83000000000001"/>
    <n v="3016"/>
    <n v="44822000"/>
    <n v="140.66"/>
    <n v="3138"/>
    <n v="3628000"/>
    <n v="0.94058595221328789"/>
    <n v="5.9414047786712082E-2"/>
  </r>
  <r>
    <x v="3"/>
    <d v="2017-02-24T00:00:00"/>
    <x v="7"/>
    <n v="2"/>
    <n v="24"/>
    <n v="52096000"/>
    <n v="50425000"/>
    <n v="49371000"/>
    <n v="24220000"/>
    <n v="25151000"/>
    <n v="175337226"/>
    <n v="41427000"/>
    <n v="127.23"/>
    <n v="3071"/>
    <n v="38121000"/>
    <n v="121.33"/>
    <n v="3183"/>
    <n v="2725000"/>
    <n v="0.94769272113022118"/>
    <n v="5.2307278869778873E-2"/>
  </r>
  <r>
    <x v="3"/>
    <d v="2017-02-17T00:00:00"/>
    <x v="7"/>
    <n v="2"/>
    <n v="17"/>
    <n v="42502000"/>
    <n v="41301000"/>
    <n v="40447000"/>
    <n v="18941000"/>
    <n v="21506000"/>
    <n v="142134050"/>
    <n v="32904000"/>
    <n v="103.24"/>
    <n v="3137"/>
    <n v="30616000"/>
    <n v="99.17"/>
    <n v="3239"/>
    <n v="2055000"/>
    <n v="0.95164933414898123"/>
    <n v="4.8350665851018777E-2"/>
  </r>
  <r>
    <x v="3"/>
    <d v="2017-02-10T00:00:00"/>
    <x v="7"/>
    <n v="2"/>
    <n v="10"/>
    <n v="32089000"/>
    <n v="31422000"/>
    <n v="30827000"/>
    <n v="13518000"/>
    <n v="17309000"/>
    <n v="98635810"/>
    <n v="14059000"/>
    <n v="28.93"/>
    <n v="2058"/>
    <n v="13039000"/>
    <n v="27.78"/>
    <n v="2130"/>
    <n v="1262000"/>
    <n v="0.96067188133005077"/>
    <n v="3.9328118669949202E-2"/>
  </r>
  <r>
    <x v="3"/>
    <d v="2017-02-03T00:00:00"/>
    <x v="7"/>
    <n v="2"/>
    <n v="3"/>
    <n v="20181000"/>
    <n v="19968000"/>
    <n v="19407000"/>
    <n v="7796000"/>
    <n v="11611000"/>
    <n v="68464005"/>
    <n v="6596000"/>
    <n v="13.15"/>
    <n v="1994"/>
    <n v="6220000"/>
    <n v="12.75"/>
    <n v="2050"/>
    <n v="774000"/>
    <n v="0.96164709380110003"/>
    <n v="3.8352906198899958E-2"/>
  </r>
  <r>
    <x v="9"/>
    <d v="2017-01-27T00:00:00"/>
    <x v="7"/>
    <n v="1"/>
    <n v="27"/>
    <n v="8912000"/>
    <n v="8804000"/>
    <n v="8366000"/>
    <n v="3192000"/>
    <n v="5174000"/>
    <n v="45912743"/>
    <n v="2013000"/>
    <n v="3.76"/>
    <n v="1866"/>
    <n v="1916000"/>
    <n v="3.66"/>
    <n v="1909"/>
    <n v="546000"/>
    <n v="0.93873429084380611"/>
    <n v="6.1265709156193893E-2"/>
  </r>
  <r>
    <x v="4"/>
    <d v="2016-12-30T00:00:00"/>
    <x v="8"/>
    <n v="12"/>
    <n v="30"/>
    <n v="152544000"/>
    <n v="152250000"/>
    <n v="131851000"/>
    <n v="78736000"/>
    <n v="53115000"/>
    <n v="507269589"/>
    <n v="111069000"/>
    <n v="317.62"/>
    <n v="2860"/>
    <n v="88416000"/>
    <n v="264.82"/>
    <n v="2995"/>
    <n v="20693000"/>
    <n v="0.86434733585063983"/>
    <n v="0.1356526641493602"/>
  </r>
  <r>
    <x v="4"/>
    <d v="2016-12-02T00:00:00"/>
    <x v="8"/>
    <n v="12"/>
    <n v="2"/>
    <n v="152216000"/>
    <n v="151891000"/>
    <n v="131851000"/>
    <n v="78736000"/>
    <n v="53115000"/>
    <n v="488350707"/>
    <n v="110986000"/>
    <n v="317.08999999999997"/>
    <n v="2857"/>
    <n v="88371000"/>
    <n v="264.52999999999997"/>
    <n v="2993"/>
    <n v="20365000"/>
    <n v="0.86620985967309616"/>
    <n v="0.13379014032690387"/>
  </r>
  <r>
    <x v="5"/>
    <d v="2016-10-21T00:00:00"/>
    <x v="8"/>
    <n v="10"/>
    <n v="21"/>
    <n v="151187000"/>
    <n v="150570000"/>
    <n v="131628000"/>
    <n v="78521000"/>
    <n v="53107000"/>
    <n v="462252942"/>
    <n v="109959000"/>
    <n v="305.33999999999997"/>
    <n v="2777"/>
    <n v="88006000"/>
    <n v="259.88"/>
    <n v="2953"/>
    <n v="19559000"/>
    <n v="0.87063041134489072"/>
    <n v="0.12936958865510922"/>
  </r>
  <r>
    <x v="11"/>
    <d v="2016-09-02T00:00:00"/>
    <x v="8"/>
    <n v="9"/>
    <n v="2"/>
    <n v="145734000"/>
    <n v="145413000"/>
    <n v="127074000"/>
    <n v="74523000"/>
    <n v="52551000"/>
    <n v="429038682"/>
    <n v="108038000"/>
    <n v="297.07"/>
    <n v="2750"/>
    <n v="86991000"/>
    <n v="255"/>
    <n v="2931"/>
    <n v="18660000"/>
    <n v="0.87195849973238915"/>
    <n v="0.12804150026761085"/>
  </r>
  <r>
    <x v="0"/>
    <d v="2016-05-13T00:00:00"/>
    <x v="8"/>
    <n v="5"/>
    <n v="13"/>
    <n v="140258000"/>
    <n v="134438000"/>
    <n v="123737000"/>
    <n v="71740000"/>
    <n v="51997000"/>
    <n v="348401089"/>
    <n v="102424000"/>
    <n v="279.86"/>
    <n v="2732"/>
    <n v="84273000"/>
    <n v="244.84"/>
    <n v="2905"/>
    <n v="16521000"/>
    <n v="0.8822099274194698"/>
    <n v="0.11779007258053016"/>
  </r>
  <r>
    <x v="0"/>
    <d v="2016-05-06T00:00:00"/>
    <x v="8"/>
    <n v="5"/>
    <n v="6"/>
    <n v="139620000"/>
    <n v="132748000"/>
    <n v="123401000"/>
    <n v="71476000"/>
    <n v="51925000"/>
    <n v="341781659"/>
    <n v="101244000"/>
    <n v="276.52999999999997"/>
    <n v="2731"/>
    <n v="83669000"/>
    <n v="242.82"/>
    <n v="2902"/>
    <n v="16219000"/>
    <n v="0.88383469416988969"/>
    <n v="0.1161653058301103"/>
  </r>
  <r>
    <x v="1"/>
    <d v="2016-04-29T00:00:00"/>
    <x v="8"/>
    <n v="4"/>
    <n v="29"/>
    <n v="138827000"/>
    <n v="131245000"/>
    <n v="123023000"/>
    <n v="71193000"/>
    <n v="51830000"/>
    <n v="334395994"/>
    <n v="99899000"/>
    <n v="272.02999999999997"/>
    <n v="2723"/>
    <n v="82977000"/>
    <n v="240.17"/>
    <n v="2894"/>
    <n v="15804000"/>
    <n v="0.88616047310681645"/>
    <n v="0.11383952689318361"/>
  </r>
  <r>
    <x v="1"/>
    <d v="2016-04-22T00:00:00"/>
    <x v="8"/>
    <n v="4"/>
    <n v="22"/>
    <n v="136528000"/>
    <n v="129456000"/>
    <n v="122546000"/>
    <n v="70864000"/>
    <n v="51682000"/>
    <n v="325525568"/>
    <n v="97079000"/>
    <n v="263.2"/>
    <n v="2711"/>
    <n v="81221000"/>
    <n v="234.27"/>
    <n v="2884"/>
    <n v="13982000"/>
    <n v="0.89758877299894524"/>
    <n v="0.10241122700105473"/>
  </r>
  <r>
    <x v="1"/>
    <d v="2016-04-15T00:00:00"/>
    <x v="8"/>
    <n v="4"/>
    <n v="15"/>
    <n v="124616000"/>
    <n v="119923000"/>
    <n v="113402000"/>
    <n v="66361000"/>
    <n v="47041000"/>
    <n v="311499555"/>
    <n v="88833000"/>
    <n v="244.87"/>
    <n v="2757"/>
    <n v="75240000"/>
    <n v="220.03"/>
    <n v="2924"/>
    <n v="11214000"/>
    <n v="0.91001155549849133"/>
    <n v="8.9988444501508641E-2"/>
  </r>
  <r>
    <x v="1"/>
    <d v="2016-04-08T00:00:00"/>
    <x v="8"/>
    <n v="4"/>
    <n v="8"/>
    <n v="107452000"/>
    <n v="104527000"/>
    <n v="98731000"/>
    <n v="57006000"/>
    <n v="41725000"/>
    <n v="289884145"/>
    <n v="81751000"/>
    <n v="228.78"/>
    <n v="2798"/>
    <n v="70027000"/>
    <n v="207.36"/>
    <n v="2961"/>
    <n v="8721000"/>
    <n v="0.9188381789077914"/>
    <n v="8.1161821092208611E-2"/>
  </r>
  <r>
    <x v="1"/>
    <d v="2016-04-01T00:00:00"/>
    <x v="8"/>
    <n v="4"/>
    <n v="1"/>
    <n v="97631000"/>
    <n v="94988000"/>
    <n v="89973000"/>
    <n v="51014000"/>
    <n v="38959000"/>
    <n v="274877786"/>
    <n v="76040000"/>
    <n v="215.35"/>
    <n v="2832"/>
    <n v="65780000"/>
    <n v="196.63"/>
    <n v="2989"/>
    <n v="7658000"/>
    <n v="0.92156179901875424"/>
    <n v="7.8438200981245709E-2"/>
  </r>
  <r>
    <x v="2"/>
    <d v="2016-03-25T00:00:00"/>
    <x v="8"/>
    <n v="3"/>
    <n v="25"/>
    <n v="89412000"/>
    <n v="86914000"/>
    <n v="82787000"/>
    <n v="46100000"/>
    <n v="36687000"/>
    <n v="261025110"/>
    <n v="70786000"/>
    <n v="202.87"/>
    <n v="2866"/>
    <n v="61844000"/>
    <n v="186.55"/>
    <n v="3016"/>
    <n v="6625000"/>
    <n v="0.92590480025052568"/>
    <n v="7.4095199749474344E-2"/>
  </r>
  <r>
    <x v="2"/>
    <d v="2016-03-18T00:00:00"/>
    <x v="8"/>
    <n v="3"/>
    <n v="18"/>
    <n v="81960000"/>
    <n v="79631000"/>
    <n v="76212000"/>
    <n v="41558000"/>
    <n v="34654000"/>
    <n v="247070498"/>
    <n v="65441000"/>
    <n v="189.9"/>
    <n v="2902"/>
    <n v="57758000"/>
    <n v="175.85"/>
    <n v="3045"/>
    <n v="5748000"/>
    <n v="0.92986822840409955"/>
    <n v="7.0131771595900436E-2"/>
  </r>
  <r>
    <x v="2"/>
    <d v="2016-03-11T00:00:00"/>
    <x v="8"/>
    <n v="3"/>
    <n v="11"/>
    <n v="74456000"/>
    <n v="72164000"/>
    <n v="69527000"/>
    <n v="37148000"/>
    <n v="32379000"/>
    <n v="231878508"/>
    <n v="59727000"/>
    <n v="175.88"/>
    <n v="2945"/>
    <n v="53295000"/>
    <n v="164.06"/>
    <n v="3078"/>
    <n v="4929000"/>
    <n v="0.93379982808638662"/>
    <n v="6.6200171913613409E-2"/>
  </r>
  <r>
    <x v="2"/>
    <d v="2016-03-04T00:00:00"/>
    <x v="8"/>
    <n v="3"/>
    <n v="4"/>
    <n v="66723000"/>
    <n v="64441000"/>
    <n v="62636000"/>
    <n v="32600000"/>
    <n v="30036000"/>
    <n v="212608945"/>
    <n v="53508000"/>
    <n v="160.16999999999999"/>
    <n v="2993"/>
    <n v="48309000"/>
    <n v="150.57"/>
    <n v="3117"/>
    <n v="4087000"/>
    <n v="0.93874675898865456"/>
    <n v="6.1253241011345411E-2"/>
  </r>
  <r>
    <x v="3"/>
    <d v="2016-02-26T00:00:00"/>
    <x v="8"/>
    <n v="2"/>
    <n v="26"/>
    <n v="58304000"/>
    <n v="56290000"/>
    <n v="55081000"/>
    <n v="27709000"/>
    <n v="27372000"/>
    <n v="193235495"/>
    <n v="46533000"/>
    <n v="142.09"/>
    <n v="3053"/>
    <n v="42551000"/>
    <n v="134.65"/>
    <n v="3164"/>
    <n v="3223000"/>
    <n v="0.94472077387486275"/>
    <n v="5.5279226125137214E-2"/>
  </r>
  <r>
    <x v="3"/>
    <d v="2016-02-19T00:00:00"/>
    <x v="8"/>
    <n v="2"/>
    <n v="19"/>
    <n v="49020000"/>
    <n v="47420000"/>
    <n v="46758000"/>
    <n v="22588000"/>
    <n v="24170000"/>
    <n v="169616932"/>
    <n v="38550000"/>
    <n v="120.57"/>
    <n v="3128"/>
    <n v="35720000"/>
    <n v="115.23"/>
    <n v="3226"/>
    <n v="2262000"/>
    <n v="0.95385556915544678"/>
    <n v="4.6144430844553247E-2"/>
  </r>
  <r>
    <x v="3"/>
    <d v="2016-02-12T00:00:00"/>
    <x v="8"/>
    <n v="2"/>
    <n v="12"/>
    <n v="38737000"/>
    <n v="37672000"/>
    <n v="37106000"/>
    <n v="17122000"/>
    <n v="19984000"/>
    <n v="140786322"/>
    <n v="29155000"/>
    <n v="94"/>
    <n v="3224"/>
    <n v="27367000"/>
    <n v="90.56"/>
    <n v="3309"/>
    <n v="1631000"/>
    <n v="0.95789555205617372"/>
    <n v="4.2104447943826319E-2"/>
  </r>
  <r>
    <x v="3"/>
    <d v="2016-02-05T00:00:00"/>
    <x v="8"/>
    <n v="2"/>
    <n v="5"/>
    <n v="26670000"/>
    <n v="26133000"/>
    <n v="25656000"/>
    <n v="11010000"/>
    <n v="14646000"/>
    <n v="97487501"/>
    <n v="17321000"/>
    <n v="58.63"/>
    <n v="3385"/>
    <n v="16533000"/>
    <n v="57.05"/>
    <n v="3450"/>
    <n v="1014000"/>
    <n v="0.9619797525309336"/>
    <n v="3.8020247469066369E-2"/>
  </r>
  <r>
    <x v="9"/>
    <d v="2016-01-29T00:00:00"/>
    <x v="8"/>
    <n v="1"/>
    <n v="29"/>
    <n v="13288000"/>
    <n v="13124000"/>
    <n v="12585000"/>
    <n v="5106000"/>
    <n v="7479000"/>
    <n v="53386675"/>
    <n v="2248000"/>
    <n v="7.84"/>
    <n v="3486"/>
    <n v="2175000"/>
    <n v="7.69"/>
    <n v="3536"/>
    <n v="703000"/>
    <n v="0.94709512341962676"/>
    <n v="5.2904876580373267E-2"/>
  </r>
  <r>
    <x v="4"/>
    <d v="2015-12-25T00:00:00"/>
    <x v="9"/>
    <n v="12"/>
    <n v="25"/>
    <n v="150991000"/>
    <n v="150727000"/>
    <n v="128784000"/>
    <n v="78406000"/>
    <n v="50378000"/>
    <n v="490314213"/>
    <n v="109426000"/>
    <n v="306.02"/>
    <n v="2797"/>
    <n v="86228000"/>
    <n v="254.94"/>
    <n v="2957"/>
    <n v="22207000"/>
    <n v="0.85292500877535748"/>
    <n v="0.14707499122464252"/>
  </r>
  <r>
    <x v="4"/>
    <d v="2015-12-04T00:00:00"/>
    <x v="9"/>
    <n v="12"/>
    <n v="4"/>
    <n v="150655000"/>
    <n v="150356000"/>
    <n v="128784000"/>
    <n v="78406000"/>
    <n v="50378000"/>
    <n v="471766005"/>
    <n v="109346000"/>
    <n v="305.44"/>
    <n v="2793"/>
    <n v="86188000"/>
    <n v="254.68"/>
    <n v="2955"/>
    <n v="21871000"/>
    <n v="0.8548272543227905"/>
    <n v="0.14517274567720953"/>
  </r>
  <r>
    <x v="7"/>
    <d v="2015-11-20T00:00:00"/>
    <x v="9"/>
    <n v="11"/>
    <n v="20"/>
    <n v="150497000"/>
    <n v="150102000"/>
    <n v="128784000"/>
    <n v="78406000"/>
    <n v="50378000"/>
    <n v="464880260"/>
    <n v="109171000"/>
    <n v="304"/>
    <n v="2785"/>
    <n v="86145000"/>
    <n v="254.28"/>
    <n v="2952"/>
    <n v="21713000"/>
    <n v="0.85572469883120594"/>
    <n v="0.14427530116879406"/>
  </r>
  <r>
    <x v="5"/>
    <d v="2015-10-30T00:00:00"/>
    <x v="9"/>
    <n v="10"/>
    <n v="30"/>
    <n v="150062000"/>
    <n v="149351000"/>
    <n v="128653000"/>
    <n v="78279000"/>
    <n v="50374000"/>
    <n v="451563658"/>
    <n v="108739000"/>
    <n v="298.60000000000002"/>
    <n v="2746"/>
    <n v="86014000"/>
    <n v="252.47"/>
    <n v="2935"/>
    <n v="21409000"/>
    <n v="0.85733230264823868"/>
    <n v="0.14266769735176127"/>
  </r>
  <r>
    <x v="5"/>
    <d v="2015-10-23T00:00:00"/>
    <x v="9"/>
    <n v="10"/>
    <n v="23"/>
    <n v="149821000"/>
    <n v="149048000"/>
    <n v="128606000"/>
    <n v="78234000"/>
    <n v="50372000"/>
    <n v="446316318"/>
    <n v="108465000"/>
    <n v="296"/>
    <n v="2729"/>
    <n v="85904000"/>
    <n v="251.29"/>
    <n v="2925"/>
    <n v="21215000"/>
    <n v="0.85839768790756965"/>
    <n v="0.14160231209243029"/>
  </r>
  <r>
    <x v="11"/>
    <d v="2015-09-25T00:00:00"/>
    <x v="9"/>
    <n v="9"/>
    <n v="25"/>
    <n v="145088000"/>
    <n v="144815000"/>
    <n v="124840000"/>
    <n v="74940000"/>
    <n v="49900000"/>
    <n v="428728525"/>
    <n v="106981000"/>
    <n v="289.79000000000002"/>
    <n v="2709"/>
    <n v="85090000"/>
    <n v="247.52"/>
    <n v="2909"/>
    <n v="20248000"/>
    <n v="0.86044331715924127"/>
    <n v="0.1395566828407587"/>
  </r>
  <r>
    <x v="10"/>
    <d v="2015-08-28T00:00:00"/>
    <x v="9"/>
    <n v="8"/>
    <n v="28"/>
    <n v="143780000"/>
    <n v="143526000"/>
    <n v="123945000"/>
    <n v="74154000"/>
    <n v="49791000"/>
    <n v="411675144"/>
    <n v="106298000"/>
    <n v="287.39999999999998"/>
    <n v="2704"/>
    <n v="84781000"/>
    <n v="246.21"/>
    <n v="2904"/>
    <n v="19835000"/>
    <n v="0.86204618166643487"/>
    <n v="0.13795381833356518"/>
  </r>
  <r>
    <x v="8"/>
    <d v="2015-07-31T00:00:00"/>
    <x v="9"/>
    <n v="7"/>
    <n v="31"/>
    <n v="142603000"/>
    <n v="142244000"/>
    <n v="123199000"/>
    <n v="73529000"/>
    <n v="49670000"/>
    <n v="393555113"/>
    <n v="105490000"/>
    <n v="284.77999999999997"/>
    <n v="2700"/>
    <n v="84421000"/>
    <n v="244.78"/>
    <n v="2900"/>
    <n v="19404000"/>
    <n v="0.86392993134786789"/>
    <n v="0.13607006865213214"/>
  </r>
  <r>
    <x v="0"/>
    <d v="2015-05-15T00:00:00"/>
    <x v="9"/>
    <n v="5"/>
    <n v="15"/>
    <n v="138209000"/>
    <n v="133403000"/>
    <n v="120612000"/>
    <n v="71417000"/>
    <n v="49195000"/>
    <n v="334566853"/>
    <n v="101407000"/>
    <n v="273.55"/>
    <n v="2698"/>
    <n v="82531000"/>
    <n v="238.3"/>
    <n v="2887"/>
    <n v="17597000"/>
    <n v="0.87267833498542058"/>
    <n v="0.12732166501457937"/>
  </r>
  <r>
    <x v="0"/>
    <d v="2015-05-08T00:00:00"/>
    <x v="9"/>
    <n v="5"/>
    <n v="8"/>
    <n v="137312000"/>
    <n v="131852000"/>
    <n v="120253000"/>
    <n v="71135000"/>
    <n v="49118000"/>
    <n v="326306561"/>
    <n v="100320000"/>
    <n v="270.99"/>
    <n v="2701"/>
    <n v="82029000"/>
    <n v="236.89"/>
    <n v="2888"/>
    <n v="17059000"/>
    <n v="0.87576468189233281"/>
    <n v="0.12423531810766721"/>
  </r>
  <r>
    <x v="0"/>
    <d v="2015-05-01T00:00:00"/>
    <x v="9"/>
    <n v="5"/>
    <n v="1"/>
    <n v="136191000"/>
    <n v="130145000"/>
    <n v="119865000"/>
    <n v="70835000"/>
    <n v="49030000"/>
    <n v="320834027"/>
    <n v="99020000"/>
    <n v="267.61"/>
    <n v="2703"/>
    <n v="81425000"/>
    <n v="235.03"/>
    <n v="2887"/>
    <n v="16326000"/>
    <n v="0.88012423728440203"/>
    <n v="0.11987576271559795"/>
  </r>
  <r>
    <x v="1"/>
    <d v="2015-04-24T00:00:00"/>
    <x v="9"/>
    <n v="4"/>
    <n v="24"/>
    <n v="134209000"/>
    <n v="128317000"/>
    <n v="119402000"/>
    <n v="70491000"/>
    <n v="48911000"/>
    <n v="310407523"/>
    <n v="97097000"/>
    <n v="262.19"/>
    <n v="2700"/>
    <n v="80383000"/>
    <n v="231.69"/>
    <n v="2882"/>
    <n v="14807000"/>
    <n v="0.88967207862363928"/>
    <n v="0.11032792137636076"/>
  </r>
  <r>
    <x v="1"/>
    <d v="2015-04-17T00:00:00"/>
    <x v="9"/>
    <n v="4"/>
    <n v="17"/>
    <n v="132268000"/>
    <n v="126121000"/>
    <n v="118766000"/>
    <n v="70064000"/>
    <n v="48702000"/>
    <n v="300060301"/>
    <n v="91818000"/>
    <n v="248.92"/>
    <n v="2711"/>
    <n v="76824000"/>
    <n v="222"/>
    <n v="2890"/>
    <n v="13502000"/>
    <n v="0.89791937581274384"/>
    <n v="0.10208062418725618"/>
  </r>
  <r>
    <x v="1"/>
    <d v="2015-04-10T00:00:00"/>
    <x v="9"/>
    <n v="4"/>
    <n v="10"/>
    <n v="110754000"/>
    <n v="108000000"/>
    <n v="100759000"/>
    <n v="59976000"/>
    <n v="40783000"/>
    <n v="274611418"/>
    <n v="83184000"/>
    <n v="230.92"/>
    <n v="2776"/>
    <n v="70510000"/>
    <n v="207.79"/>
    <n v="2947"/>
    <n v="9995000"/>
    <n v="0.9097549524170685"/>
    <n v="9.0245047582931545E-2"/>
  </r>
  <r>
    <x v="1"/>
    <d v="2015-04-03T00:00:00"/>
    <x v="9"/>
    <n v="4"/>
    <n v="3"/>
    <n v="99056000"/>
    <n v="96992000"/>
    <n v="90608000"/>
    <n v="52963000"/>
    <n v="37645000"/>
    <n v="258535303"/>
    <n v="77200000"/>
    <n v="217.35"/>
    <n v="2815"/>
    <n v="66179000"/>
    <n v="197.13"/>
    <n v="2979"/>
    <n v="8448000"/>
    <n v="0.91471490873849137"/>
    <n v="8.5285091261508642E-2"/>
  </r>
  <r>
    <x v="2"/>
    <d v="2015-03-27T00:00:00"/>
    <x v="9"/>
    <n v="3"/>
    <n v="27"/>
    <n v="90255000"/>
    <n v="88298000"/>
    <n v="82905000"/>
    <n v="47565000"/>
    <n v="35340000"/>
    <n v="243272673"/>
    <n v="71685000"/>
    <n v="204.5"/>
    <n v="2853"/>
    <n v="62129000"/>
    <n v="186.87"/>
    <n v="3008"/>
    <n v="7350000"/>
    <n v="0.91856406847266081"/>
    <n v="8.1435931527339203E-2"/>
  </r>
  <r>
    <x v="2"/>
    <d v="2015-03-20T00:00:00"/>
    <x v="9"/>
    <n v="3"/>
    <n v="20"/>
    <n v="82289000"/>
    <n v="80439000"/>
    <n v="76022000"/>
    <n v="42711000"/>
    <n v="33311000"/>
    <n v="227702714"/>
    <n v="66108000"/>
    <n v="191.23"/>
    <n v="2893"/>
    <n v="57944000"/>
    <n v="176.06"/>
    <n v="3038"/>
    <n v="6267000"/>
    <n v="0.92384158271457906"/>
    <n v="7.6158417285420901E-2"/>
  </r>
  <r>
    <x v="2"/>
    <d v="2015-03-13T00:00:00"/>
    <x v="9"/>
    <n v="3"/>
    <n v="13"/>
    <n v="74455000"/>
    <n v="72706000"/>
    <n v="69189000"/>
    <n v="38089000"/>
    <n v="31100000"/>
    <n v="211432154"/>
    <n v="60320000"/>
    <n v="177.24"/>
    <n v="2938"/>
    <n v="53485000"/>
    <n v="164.41"/>
    <n v="3074"/>
    <n v="5266000"/>
    <n v="0.92927271506278963"/>
    <n v="7.0727284937210394E-2"/>
  </r>
  <r>
    <x v="2"/>
    <d v="2015-03-06T00:00:00"/>
    <x v="9"/>
    <n v="3"/>
    <n v="6"/>
    <n v="66700000"/>
    <n v="64900000"/>
    <n v="62342000"/>
    <n v="33419000"/>
    <n v="28923000"/>
    <n v="196652187"/>
    <n v="54258000"/>
    <n v="162.11000000000001"/>
    <n v="2988"/>
    <n v="48699000"/>
    <n v="151.55000000000001"/>
    <n v="3112"/>
    <n v="4358000"/>
    <n v="0.93466266866566716"/>
    <n v="6.5337331334332838E-2"/>
  </r>
  <r>
    <x v="3"/>
    <d v="2015-02-27T00:00:00"/>
    <x v="9"/>
    <n v="2"/>
    <n v="27"/>
    <n v="58528000"/>
    <n v="56857000"/>
    <n v="55104000"/>
    <n v="28733000"/>
    <n v="26371000"/>
    <n v="177807672"/>
    <n v="47547000"/>
    <n v="144.9"/>
    <n v="3048"/>
    <n v="43228000"/>
    <n v="136.57"/>
    <n v="3159"/>
    <n v="3424000"/>
    <n v="0.9414980863860033"/>
    <n v="5.8501913613996717E-2"/>
  </r>
  <r>
    <x v="3"/>
    <d v="2015-02-20T00:00:00"/>
    <x v="9"/>
    <n v="2"/>
    <n v="20"/>
    <n v="49652000"/>
    <n v="48295000"/>
    <n v="47157000"/>
    <n v="23725000"/>
    <n v="23432000"/>
    <n v="155780478"/>
    <n v="39964000"/>
    <n v="124.67"/>
    <n v="3120"/>
    <n v="36817000"/>
    <n v="118.5"/>
    <n v="3219"/>
    <n v="2495000"/>
    <n v="0.94975026182228306"/>
    <n v="5.0249738177716913E-2"/>
  </r>
  <r>
    <x v="3"/>
    <d v="2015-02-13T00:00:00"/>
    <x v="9"/>
    <n v="2"/>
    <n v="13"/>
    <n v="39699000"/>
    <n v="38669000"/>
    <n v="37919000"/>
    <n v="18465000"/>
    <n v="19454000"/>
    <n v="130268292"/>
    <n v="30930000"/>
    <n v="99.73"/>
    <n v="3224"/>
    <n v="28884000"/>
    <n v="95.58"/>
    <n v="3309"/>
    <n v="1780000"/>
    <n v="0.95516259855411978"/>
    <n v="4.4837401445880248E-2"/>
  </r>
  <r>
    <x v="3"/>
    <d v="2015-02-06T00:00:00"/>
    <x v="9"/>
    <n v="2"/>
    <n v="6"/>
    <n v="27517000"/>
    <n v="27084000"/>
    <n v="26472000"/>
    <n v="12135000"/>
    <n v="14337000"/>
    <n v="97768901"/>
    <n v="19651000"/>
    <n v="66.14"/>
    <n v="3366"/>
    <n v="18647000"/>
    <n v="63.98"/>
    <n v="3431"/>
    <n v="1045000"/>
    <n v="0.9620234763964095"/>
    <n v="3.7976523603590509E-2"/>
  </r>
  <r>
    <x v="9"/>
    <d v="2015-01-30T00:00:00"/>
    <x v="9"/>
    <n v="1"/>
    <n v="30"/>
    <n v="14026000"/>
    <n v="13897000"/>
    <n v="13327000"/>
    <n v="5857000"/>
    <n v="7469000"/>
    <n v="65561078"/>
    <n v="7595000"/>
    <n v="26.88"/>
    <n v="3539"/>
    <n v="7310000"/>
    <n v="26.21"/>
    <n v="3586"/>
    <n v="699000"/>
    <n v="0.95016398117781264"/>
    <n v="4.983601882218737E-2"/>
  </r>
  <r>
    <x v="4"/>
    <d v="2014-12-26T00:00:00"/>
    <x v="10"/>
    <n v="12"/>
    <n v="26"/>
    <n v="149685000"/>
    <n v="149510000"/>
    <n v="125821000"/>
    <n v="77875000"/>
    <n v="47946000"/>
    <n v="442134043"/>
    <n v="109499000"/>
    <n v="305.73"/>
    <n v="2792"/>
    <n v="83995000"/>
    <n v="245.09"/>
    <n v="2918"/>
    <n v="23864000"/>
    <n v="0.84057186758860269"/>
    <n v="0.15942813241139728"/>
  </r>
  <r>
    <x v="7"/>
    <d v="2014-11-21T00:00:00"/>
    <x v="10"/>
    <n v="11"/>
    <n v="21"/>
    <n v="149215000"/>
    <n v="148954000"/>
    <n v="125821000"/>
    <n v="77875000"/>
    <n v="47946000"/>
    <n v="419828804"/>
    <n v="109264000"/>
    <n v="304.04000000000002"/>
    <n v="2783"/>
    <n v="83915000"/>
    <n v="244.62"/>
    <n v="2915"/>
    <n v="23394000"/>
    <n v="0.84321951546426299"/>
    <n v="0.15678048453573704"/>
  </r>
  <r>
    <x v="5"/>
    <d v="2014-10-31T00:00:00"/>
    <x v="10"/>
    <n v="10"/>
    <n v="31"/>
    <n v="148787000"/>
    <n v="148112000"/>
    <n v="125720000"/>
    <n v="77776000"/>
    <n v="47944000"/>
    <n v="406015057"/>
    <n v="108874000"/>
    <n v="299.39"/>
    <n v="2750"/>
    <n v="83806000"/>
    <n v="243.24"/>
    <n v="2902"/>
    <n v="23067000"/>
    <n v="0.84496629409827473"/>
    <n v="0.15503370590172527"/>
  </r>
  <r>
    <x v="11"/>
    <d v="2014-09-26T00:00:00"/>
    <x v="10"/>
    <n v="9"/>
    <n v="26"/>
    <n v="143912000"/>
    <n v="143715000"/>
    <n v="122102000"/>
    <n v="74638000"/>
    <n v="47464000"/>
    <n v="382306729"/>
    <n v="107187000"/>
    <n v="290.16000000000003"/>
    <n v="2707"/>
    <n v="82929000"/>
    <n v="238.34"/>
    <n v="2874"/>
    <n v="21810000"/>
    <n v="0.84844905219856581"/>
    <n v="0.15155094780143422"/>
  </r>
  <r>
    <x v="10"/>
    <d v="2014-08-29T00:00:00"/>
    <x v="10"/>
    <n v="8"/>
    <n v="29"/>
    <n v="142578000"/>
    <n v="142360000"/>
    <n v="121192000"/>
    <n v="73878000"/>
    <n v="47314000"/>
    <n v="365416355"/>
    <n v="106563000"/>
    <n v="287.63"/>
    <n v="2699"/>
    <n v="82624000"/>
    <n v="236.96"/>
    <n v="2868"/>
    <n v="21386000"/>
    <n v="0.8500049095933454"/>
    <n v="0.1499950904066546"/>
  </r>
  <r>
    <x v="10"/>
    <d v="2014-08-01T00:00:00"/>
    <x v="10"/>
    <n v="8"/>
    <n v="1"/>
    <n v="141336000"/>
    <n v="141051000"/>
    <n v="120429000"/>
    <n v="73287000"/>
    <n v="47142000"/>
    <n v="348210731"/>
    <n v="105888000"/>
    <n v="285.31"/>
    <n v="2694"/>
    <n v="82306000"/>
    <n v="235.69"/>
    <n v="2864"/>
    <n v="20907000"/>
    <n v="0.8520759042282221"/>
    <n v="0.1479240957717779"/>
  </r>
  <r>
    <x v="0"/>
    <d v="2014-05-16T00:00:00"/>
    <x v="10"/>
    <n v="5"/>
    <n v="16"/>
    <n v="136887000"/>
    <n v="132571000"/>
    <n v="117763000"/>
    <n v="71263000"/>
    <n v="46500000"/>
    <n v="296244054"/>
    <n v="102139000"/>
    <n v="274.7"/>
    <n v="2689"/>
    <n v="80583000"/>
    <n v="229.72"/>
    <n v="2851"/>
    <n v="19124000"/>
    <n v="0.8602935267775611"/>
    <n v="0.13970647322243895"/>
  </r>
  <r>
    <x v="0"/>
    <d v="2014-05-09T00:00:00"/>
    <x v="10"/>
    <n v="5"/>
    <n v="9"/>
    <n v="136244000"/>
    <n v="131069000"/>
    <n v="117403000"/>
    <n v="70994000"/>
    <n v="46409000"/>
    <n v="290429932"/>
    <n v="101176000"/>
    <n v="272.47000000000003"/>
    <n v="2693"/>
    <n v="80164000"/>
    <n v="228.54"/>
    <n v="2851"/>
    <n v="18841000"/>
    <n v="0.86171134141686978"/>
    <n v="0.13828865858313028"/>
  </r>
  <r>
    <x v="0"/>
    <d v="2014-05-02T00:00:00"/>
    <x v="10"/>
    <n v="5"/>
    <n v="2"/>
    <n v="135504000"/>
    <n v="129479000"/>
    <n v="117016000"/>
    <n v="70707000"/>
    <n v="46309000"/>
    <n v="284365227"/>
    <n v="99948000"/>
    <n v="269.48"/>
    <n v="2696"/>
    <n v="79622000"/>
    <n v="226.99"/>
    <n v="2851"/>
    <n v="18488000"/>
    <n v="0.86356122328492146"/>
    <n v="0.13643877671507851"/>
  </r>
  <r>
    <x v="1"/>
    <d v="2014-04-25T00:00:00"/>
    <x v="10"/>
    <n v="4"/>
    <n v="25"/>
    <n v="134334000"/>
    <n v="127710000"/>
    <n v="116556000"/>
    <n v="70379000"/>
    <n v="46177000"/>
    <n v="277260138"/>
    <n v="98379000"/>
    <n v="265.05"/>
    <n v="2694"/>
    <n v="78887000"/>
    <n v="224.59"/>
    <n v="2847"/>
    <n v="17778000"/>
    <n v="0.86765822502121581"/>
    <n v="0.13234177497878422"/>
  </r>
  <r>
    <x v="1"/>
    <d v="2014-04-18T00:00:00"/>
    <x v="10"/>
    <n v="4"/>
    <n v="18"/>
    <n v="131170000"/>
    <n v="125604000"/>
    <n v="115969000"/>
    <n v="69992000"/>
    <n v="45977000"/>
    <n v="269138999"/>
    <n v="94809000"/>
    <n v="254.7"/>
    <n v="2686"/>
    <n v="76714000"/>
    <n v="217.66"/>
    <n v="2837"/>
    <n v="15201000"/>
    <n v="0.88411222078219109"/>
    <n v="0.11588777921780895"/>
  </r>
  <r>
    <x v="1"/>
    <d v="2014-04-11T00:00:00"/>
    <x v="10"/>
    <n v="4"/>
    <n v="11"/>
    <n v="112741000"/>
    <n v="110266000"/>
    <n v="101288000"/>
    <n v="61956000"/>
    <n v="39332000"/>
    <n v="249699045"/>
    <n v="85262000"/>
    <n v="234.55"/>
    <n v="2751"/>
    <n v="69924000"/>
    <n v="202.17"/>
    <n v="2891"/>
    <n v="11453000"/>
    <n v="0.89841317710504609"/>
    <n v="0.10158682289495392"/>
  </r>
  <r>
    <x v="1"/>
    <d v="2014-04-04T00:00:00"/>
    <x v="10"/>
    <n v="4"/>
    <n v="4"/>
    <n v="99848000"/>
    <n v="98170000"/>
    <n v="90306000"/>
    <n v="54295000"/>
    <n v="36011000"/>
    <n v="234510211"/>
    <n v="78769000"/>
    <n v="219.94"/>
    <n v="2792"/>
    <n v="65326000"/>
    <n v="190.93"/>
    <n v="2923"/>
    <n v="9542000"/>
    <n v="0.90443474080602515"/>
    <n v="9.5565259193974836E-2"/>
  </r>
  <r>
    <x v="2"/>
    <d v="2014-03-28T00:00:00"/>
    <x v="10"/>
    <n v="3"/>
    <n v="28"/>
    <n v="90762000"/>
    <n v="89127000"/>
    <n v="82441000"/>
    <n v="48787000"/>
    <n v="33654000"/>
    <n v="220978418"/>
    <n v="73035000"/>
    <n v="206.79"/>
    <n v="2831"/>
    <n v="61223000"/>
    <n v="180.69"/>
    <n v="2951"/>
    <n v="8321000"/>
    <n v="0.90832066283246293"/>
    <n v="9.1679337167537081E-2"/>
  </r>
  <r>
    <x v="2"/>
    <d v="2014-03-21T00:00:00"/>
    <x v="10"/>
    <n v="3"/>
    <n v="21"/>
    <n v="82823000"/>
    <n v="81149000"/>
    <n v="75610000"/>
    <n v="43953000"/>
    <n v="31657000"/>
    <n v="207734597"/>
    <n v="67383000"/>
    <n v="193.54"/>
    <n v="2872"/>
    <n v="57101000"/>
    <n v="170.19"/>
    <n v="2980"/>
    <n v="7213000"/>
    <n v="0.91291066491192063"/>
    <n v="8.7089335088079395E-2"/>
  </r>
  <r>
    <x v="2"/>
    <d v="2014-03-14T00:00:00"/>
    <x v="10"/>
    <n v="3"/>
    <n v="14"/>
    <n v="75101000"/>
    <n v="73157000"/>
    <n v="68966000"/>
    <n v="39413000"/>
    <n v="29553000"/>
    <n v="194206816"/>
    <n v="61645000"/>
    <n v="179.79"/>
    <n v="2917"/>
    <n v="52770000"/>
    <n v="158.97999999999999"/>
    <n v="3013"/>
    <n v="6135000"/>
    <n v="0.91831000918762729"/>
    <n v="8.1689990812372673E-2"/>
  </r>
  <r>
    <x v="2"/>
    <d v="2014-03-07T00:00:00"/>
    <x v="10"/>
    <n v="3"/>
    <n v="7"/>
    <n v="67183000"/>
    <n v="65662000"/>
    <n v="62213000"/>
    <n v="34816000"/>
    <n v="27397000"/>
    <n v="179637790"/>
    <n v="55434000"/>
    <n v="164.59"/>
    <n v="2969"/>
    <n v="47976000"/>
    <n v="146.31"/>
    <n v="3050"/>
    <n v="4970000"/>
    <n v="0.92602295223494036"/>
    <n v="7.3977047765059617E-2"/>
  </r>
  <r>
    <x v="3"/>
    <d v="2014-02-28T00:00:00"/>
    <x v="10"/>
    <n v="2"/>
    <n v="28"/>
    <n v="58883000"/>
    <n v="57410000"/>
    <n v="54942000"/>
    <n v="30053000"/>
    <n v="24889000"/>
    <n v="163397540"/>
    <n v="48429000"/>
    <n v="146.91999999999999"/>
    <n v="3034"/>
    <n v="42380000"/>
    <n v="131.19999999999999"/>
    <n v="3096"/>
    <n v="3941000"/>
    <n v="0.9330706655571217"/>
    <n v="6.6929334442878255E-2"/>
  </r>
  <r>
    <x v="3"/>
    <d v="2014-02-21T00:00:00"/>
    <x v="10"/>
    <n v="2"/>
    <n v="21"/>
    <n v="49558000"/>
    <n v="48335000"/>
    <n v="46641000"/>
    <n v="24687000"/>
    <n v="21954000"/>
    <n v="143672874"/>
    <n v="40389000"/>
    <n v="125.83"/>
    <n v="3116"/>
    <n v="35694000"/>
    <n v="112.63"/>
    <n v="3155"/>
    <n v="2917000"/>
    <n v="0.94113967472456517"/>
    <n v="5.8860325275434847E-2"/>
  </r>
  <r>
    <x v="3"/>
    <d v="2014-02-14T00:00:00"/>
    <x v="10"/>
    <n v="2"/>
    <n v="14"/>
    <n v="39224000"/>
    <n v="38385000"/>
    <n v="37165000"/>
    <n v="18953000"/>
    <n v="18212000"/>
    <n v="119297626"/>
    <n v="31307000"/>
    <n v="100.54"/>
    <n v="3211"/>
    <n v="27747000"/>
    <n v="89.59"/>
    <n v="3229"/>
    <n v="2059000"/>
    <n v="0.94750662859473789"/>
    <n v="5.2493371405262085E-2"/>
  </r>
  <r>
    <x v="3"/>
    <d v="2014-02-07T00:00:00"/>
    <x v="10"/>
    <n v="2"/>
    <n v="7"/>
    <n v="27249000"/>
    <n v="26945000"/>
    <n v="26081000"/>
    <n v="12699000"/>
    <n v="13382000"/>
    <n v="85095129"/>
    <n v="19459000"/>
    <n v="64.55"/>
    <n v="3317"/>
    <n v="16976000"/>
    <n v="55.82"/>
    <n v="3288"/>
    <n v="1168000"/>
    <n v="0.95713604168960331"/>
    <n v="4.2863958310396709E-2"/>
  </r>
  <r>
    <x v="9"/>
    <d v="2014-01-31T00:00:00"/>
    <x v="10"/>
    <n v="1"/>
    <n v="31"/>
    <n v="11169000"/>
    <n v="11036000"/>
    <n v="10418000"/>
    <n v="4212000"/>
    <n v="6206000"/>
    <n v="43996932"/>
    <n v="3838000"/>
    <n v="12.35"/>
    <n v="3218"/>
    <n v="3715000"/>
    <n v="12.05"/>
    <n v="3244"/>
    <n v="751000"/>
    <n v="0.93276031873936793"/>
    <n v="6.7239681260632109E-2"/>
  </r>
  <r>
    <x v="4"/>
    <d v="2013-12-27T00:00:00"/>
    <x v="11"/>
    <n v="12"/>
    <n v="27"/>
    <n v="148197000"/>
    <n v="147910000"/>
    <n v="122515000"/>
    <n v="77268000"/>
    <n v="45247000"/>
    <n v="456704240"/>
    <n v="109563000"/>
    <n v="301.83999999999997"/>
    <n v="2755"/>
    <n v="83836000"/>
    <n v="245.6"/>
    <n v="2929"/>
    <n v="25682000"/>
    <n v="0.82670364447323497"/>
    <n v="0.17329635552676506"/>
  </r>
  <r>
    <x v="7"/>
    <d v="2013-11-22T00:00:00"/>
    <x v="11"/>
    <n v="11"/>
    <n v="22"/>
    <n v="147744000"/>
    <n v="147223000"/>
    <n v="122515000"/>
    <n v="77268000"/>
    <n v="45247000"/>
    <n v="437814185"/>
    <n v="109261000"/>
    <n v="299.86"/>
    <n v="2744"/>
    <n v="83728000"/>
    <n v="244.93"/>
    <n v="2925"/>
    <n v="25229000"/>
    <n v="0.8292384123889972"/>
    <n v="0.17076158761100282"/>
  </r>
  <r>
    <x v="0"/>
    <d v="2013-05-17T00:00:00"/>
    <x v="11"/>
    <n v="5"/>
    <n v="17"/>
    <n v="135096000"/>
    <n v="131100000"/>
    <n v="114422000"/>
    <n v="70739000"/>
    <n v="43683000"/>
    <n v="323793587"/>
    <n v="101913000"/>
    <n v="270.32"/>
    <n v="2652"/>
    <n v="80267000"/>
    <n v="229.8"/>
    <n v="2863"/>
    <n v="20674000"/>
    <n v="0.84696808195653461"/>
    <n v="0.15303191804346539"/>
  </r>
  <r>
    <x v="0"/>
    <d v="2013-05-10T00:00:00"/>
    <x v="11"/>
    <n v="5"/>
    <n v="10"/>
    <n v="134465000"/>
    <n v="129674000"/>
    <n v="114070000"/>
    <n v="70474000"/>
    <n v="43596000"/>
    <n v="317992771"/>
    <n v="101082000"/>
    <n v="267.95"/>
    <n v="2651"/>
    <n v="79880000"/>
    <n v="228.47"/>
    <n v="2860"/>
    <n v="20395000"/>
    <n v="0.84832484289592092"/>
    <n v="0.15167515710407914"/>
  </r>
  <r>
    <x v="0"/>
    <d v="2013-05-03T00:00:00"/>
    <x v="11"/>
    <n v="5"/>
    <n v="3"/>
    <n v="133803000"/>
    <n v="127586000"/>
    <n v="113679000"/>
    <n v="70184000"/>
    <n v="43496000"/>
    <n v="312001989"/>
    <n v="99551000"/>
    <n v="264.42"/>
    <n v="2656"/>
    <n v="79226000"/>
    <n v="226.57"/>
    <n v="2860"/>
    <n v="20124000"/>
    <n v="0.84959978475818931"/>
    <n v="0.15040021524181071"/>
  </r>
  <r>
    <x v="1"/>
    <d v="2013-04-26T00:00:00"/>
    <x v="11"/>
    <n v="4"/>
    <n v="26"/>
    <n v="132760000"/>
    <n v="125392000"/>
    <n v="113226000"/>
    <n v="69855000"/>
    <n v="43371000"/>
    <n v="304957832"/>
    <n v="97752000"/>
    <n v="259.73"/>
    <n v="2657"/>
    <n v="78425000"/>
    <n v="224.05"/>
    <n v="2857"/>
    <n v="19534000"/>
    <n v="0.85286230792407347"/>
    <n v="0.14713769207592647"/>
  </r>
  <r>
    <x v="1"/>
    <d v="2013-04-19T00:00:00"/>
    <x v="11"/>
    <n v="4"/>
    <n v="19"/>
    <n v="130203000"/>
    <n v="120737000"/>
    <n v="112665000"/>
    <n v="69474000"/>
    <n v="43191000"/>
    <n v="296468446"/>
    <n v="93839000"/>
    <n v="249.49"/>
    <n v="2659"/>
    <n v="76135000"/>
    <n v="217.19"/>
    <n v="2853"/>
    <n v="17538000"/>
    <n v="0.86530264279624891"/>
    <n v="0.13469735720375106"/>
  </r>
  <r>
    <x v="1"/>
    <d v="2013-04-12T00:00:00"/>
    <x v="11"/>
    <n v="4"/>
    <n v="12"/>
    <n v="112403000"/>
    <n v="103880000"/>
    <n v="99787000"/>
    <n v="62163000"/>
    <n v="37624000"/>
    <n v="278307884"/>
    <n v="84581000"/>
    <n v="229.61"/>
    <n v="2715"/>
    <n v="69680000"/>
    <n v="202.19"/>
    <n v="2902"/>
    <n v="12616000"/>
    <n v="0.88776100282020942"/>
    <n v="0.11223899717979058"/>
  </r>
  <r>
    <x v="1"/>
    <d v="2013-04-05T00:00:00"/>
    <x v="11"/>
    <n v="4"/>
    <n v="5"/>
    <n v="99131000"/>
    <n v="93103000"/>
    <n v="88638000"/>
    <n v="54673000"/>
    <n v="33964000"/>
    <n v="261597162"/>
    <n v="77849000"/>
    <n v="214.49"/>
    <n v="2755"/>
    <n v="65020000"/>
    <n v="190.75"/>
    <n v="2934"/>
    <n v="10493000"/>
    <n v="0.89415016493327015"/>
    <n v="0.10584983506672989"/>
  </r>
  <r>
    <x v="2"/>
    <d v="2013-03-29T00:00:00"/>
    <x v="11"/>
    <n v="3"/>
    <n v="29"/>
    <n v="90244000"/>
    <n v="85039000"/>
    <n v="80991000"/>
    <n v="49214000"/>
    <n v="31777000"/>
    <n v="247990560"/>
    <n v="72231000"/>
    <n v="201.5"/>
    <n v="2790"/>
    <n v="61133000"/>
    <n v="180.87"/>
    <n v="2959"/>
    <n v="9253000"/>
    <n v="0.89746686760338634"/>
    <n v="0.10253313239661363"/>
  </r>
  <r>
    <x v="2"/>
    <d v="2013-03-22T00:00:00"/>
    <x v="11"/>
    <n v="3"/>
    <n v="22"/>
    <n v="82413000"/>
    <n v="77102000"/>
    <n v="74420000"/>
    <n v="44524000"/>
    <n v="29896000"/>
    <n v="234237695"/>
    <n v="66429000"/>
    <n v="187.79"/>
    <n v="2827"/>
    <n v="56985000"/>
    <n v="170.13"/>
    <n v="2985"/>
    <n v="7993000"/>
    <n v="0.90301287418247123"/>
    <n v="9.6987125817528788E-2"/>
  </r>
  <r>
    <x v="2"/>
    <d v="2013-03-15T00:00:00"/>
    <x v="11"/>
    <n v="3"/>
    <n v="15"/>
    <n v="74882000"/>
    <n v="69153000"/>
    <n v="68029000"/>
    <n v="40117000"/>
    <n v="27912000"/>
    <n v="218469657"/>
    <n v="60243000"/>
    <n v="172.49"/>
    <n v="2863"/>
    <n v="52414000"/>
    <n v="157.79"/>
    <n v="3010"/>
    <n v="6853000"/>
    <n v="0.90848267941561389"/>
    <n v="9.1517320584386094E-2"/>
  </r>
  <r>
    <x v="2"/>
    <d v="2013-03-08T00:00:00"/>
    <x v="11"/>
    <n v="3"/>
    <n v="8"/>
    <n v="67143000"/>
    <n v="60944000"/>
    <n v="61488000"/>
    <n v="35585000"/>
    <n v="25903000"/>
    <n v="197651780"/>
    <n v="53447000"/>
    <n v="154.69999999999999"/>
    <n v="2894"/>
    <n v="47177000"/>
    <n v="142.86000000000001"/>
    <n v="3028"/>
    <n v="5655000"/>
    <n v="0.915776774943032"/>
    <n v="8.4223225056967971E-2"/>
  </r>
  <r>
    <x v="2"/>
    <d v="2013-03-01T00:00:00"/>
    <x v="11"/>
    <n v="3"/>
    <n v="1"/>
    <n v="58044000"/>
    <n v="51778000"/>
    <n v="53612000"/>
    <n v="30466000"/>
    <n v="23146000"/>
    <n v="180140998"/>
    <n v="45862000"/>
    <n v="135.03"/>
    <n v="2944"/>
    <n v="41137000"/>
    <n v="126.03"/>
    <n v="3054"/>
    <n v="4432000"/>
    <n v="0.92364413203776441"/>
    <n v="7.6355867962235549E-2"/>
  </r>
  <r>
    <x v="3"/>
    <d v="2013-02-22T00:00:00"/>
    <x v="11"/>
    <n v="2"/>
    <n v="22"/>
    <n v="49448000"/>
    <n v="42837000"/>
    <n v="46149000"/>
    <n v="25618000"/>
    <n v="20531000"/>
    <n v="155167572"/>
    <n v="38042000"/>
    <n v="113.74"/>
    <n v="2990"/>
    <n v="34618000"/>
    <n v="107.23"/>
    <n v="3097"/>
    <n v="3299000"/>
    <n v="0.9332834492800518"/>
    <n v="6.6716550719948226E-2"/>
  </r>
  <r>
    <x v="3"/>
    <d v="2013-02-15T00:00:00"/>
    <x v="11"/>
    <n v="2"/>
    <n v="15"/>
    <n v="39531000"/>
    <n v="30762000"/>
    <n v="37112000"/>
    <n v="20028000"/>
    <n v="17084000"/>
    <n v="123945553"/>
    <n v="27100000"/>
    <n v="81.86"/>
    <n v="3021"/>
    <n v="24957000"/>
    <n v="77.89"/>
    <n v="3121"/>
    <n v="2419000"/>
    <n v="0.93880751815031238"/>
    <n v="6.1192481849687584E-2"/>
  </r>
  <r>
    <x v="3"/>
    <d v="2013-02-08T00:00:00"/>
    <x v="11"/>
    <n v="2"/>
    <n v="8"/>
    <n v="26589000"/>
    <n v="18811000"/>
    <n v="25121000"/>
    <n v="13456000"/>
    <n v="11665000"/>
    <n v="90706865"/>
    <n v="16424000"/>
    <n v="52.06"/>
    <n v="3170"/>
    <n v="15457000"/>
    <n v="50.21"/>
    <n v="3249"/>
    <n v="1468000"/>
    <n v="0.94478919854074994"/>
    <n v="5.5210801459250065E-2"/>
  </r>
  <r>
    <x v="4"/>
    <d v="2012-12-28T00:00:00"/>
    <x v="12"/>
    <n v="12"/>
    <n v="28"/>
    <n v="148203000"/>
    <n v="147697000"/>
    <n v="119560000"/>
    <n v="76322000"/>
    <n v="43238000"/>
    <n v="373854200"/>
    <n v="110471000"/>
    <n v="309.64999999999998"/>
    <n v="2803"/>
    <n v="82809000"/>
    <n v="247.13"/>
    <n v="2984"/>
    <n v="28643000"/>
    <n v="0.8067313077333117"/>
    <n v="0.19326869226668825"/>
  </r>
  <r>
    <x v="7"/>
    <d v="2012-11-23T00:00:00"/>
    <x v="12"/>
    <n v="11"/>
    <n v="23"/>
    <n v="147874000"/>
    <n v="147284000"/>
    <n v="119560000"/>
    <n v="76322000"/>
    <n v="43238000"/>
    <n v="353974215"/>
    <n v="110224000"/>
    <n v="307.98"/>
    <n v="2794"/>
    <n v="82735000"/>
    <n v="246.66"/>
    <n v="2981"/>
    <n v="28314000"/>
    <n v="0.80852617769181867"/>
    <n v="0.1914738223081813"/>
  </r>
  <r>
    <x v="6"/>
    <d v="2012-06-08T00:00:00"/>
    <x v="12"/>
    <n v="6"/>
    <n v="8"/>
    <n v="137200000"/>
    <n v="135097000"/>
    <n v="113074000"/>
    <n v="71017000"/>
    <n v="42056000"/>
    <n v="270997037"/>
    <n v="104486000"/>
    <n v="282.81"/>
    <n v="2707"/>
    <n v="80152000"/>
    <n v="234.57"/>
    <n v="2927"/>
    <n v="24126000"/>
    <n v="0.82415451895043734"/>
    <n v="0.17584548104956269"/>
  </r>
  <r>
    <x v="0"/>
    <d v="2012-05-11T00:00:00"/>
    <x v="12"/>
    <n v="5"/>
    <n v="11"/>
    <n v="135473000"/>
    <n v="130261000"/>
    <n v="112089000"/>
    <n v="70344000"/>
    <n v="41745000"/>
    <n v="255269615"/>
    <n v="102522000"/>
    <n v="277.18"/>
    <n v="2704"/>
    <n v="79308000"/>
    <n v="231.66"/>
    <n v="2921"/>
    <n v="23384000"/>
    <n v="0.8273899596229507"/>
    <n v="0.1726100403770493"/>
  </r>
  <r>
    <x v="0"/>
    <d v="2012-05-04T00:00:00"/>
    <x v="12"/>
    <n v="5"/>
    <n v="4"/>
    <n v="134623000"/>
    <n v="128532000"/>
    <n v="111769000"/>
    <n v="70130000"/>
    <n v="41639000"/>
    <n v="250654312"/>
    <n v="101171000"/>
    <n v="273.93"/>
    <n v="2708"/>
    <n v="78794000"/>
    <n v="230.16"/>
    <n v="2921"/>
    <n v="22854000"/>
    <n v="0.83023703230502965"/>
    <n v="0.1697629676949704"/>
  </r>
  <r>
    <x v="1"/>
    <d v="2012-04-27T00:00:00"/>
    <x v="12"/>
    <n v="4"/>
    <n v="27"/>
    <n v="133530000"/>
    <n v="126306000"/>
    <n v="111395000"/>
    <n v="69894000"/>
    <n v="41501000"/>
    <n v="245261101"/>
    <n v="99104000"/>
    <n v="269.14"/>
    <n v="2716"/>
    <n v="78007000"/>
    <n v="227.99"/>
    <n v="2923"/>
    <n v="22135000"/>
    <n v="0.83423200778851192"/>
    <n v="0.16576799221148805"/>
  </r>
  <r>
    <x v="1"/>
    <d v="2012-04-20T00:00:00"/>
    <x v="12"/>
    <n v="4"/>
    <n v="20"/>
    <n v="130873000"/>
    <n v="123332000"/>
    <n v="110883000"/>
    <n v="69606000"/>
    <n v="41277000"/>
    <n v="238757166"/>
    <n v="95033000"/>
    <n v="257.27"/>
    <n v="2707"/>
    <n v="75726000"/>
    <n v="220.36"/>
    <n v="2910"/>
    <n v="19990000"/>
    <n v="0.84725650057689517"/>
    <n v="0.15274349942310483"/>
  </r>
  <r>
    <x v="1"/>
    <d v="2012-04-13T00:00:00"/>
    <x v="12"/>
    <n v="4"/>
    <n v="13"/>
    <n v="110862000"/>
    <n v="105668000"/>
    <n v="95943000"/>
    <n v="60631000"/>
    <n v="35312000"/>
    <n v="223158096"/>
    <n v="86078000"/>
    <n v="237.75"/>
    <n v="2762"/>
    <n v="69667000"/>
    <n v="206.09"/>
    <n v="2958"/>
    <n v="14919000"/>
    <n v="0.86542728797965041"/>
    <n v="0.13457271202034962"/>
  </r>
  <r>
    <x v="1"/>
    <d v="2012-04-06T00:00:00"/>
    <x v="12"/>
    <n v="4"/>
    <n v="6"/>
    <n v="99979000"/>
    <n v="96556000"/>
    <n v="87293000"/>
    <n v="54664000"/>
    <n v="32630000"/>
    <n v="209805368"/>
    <n v="80421000"/>
    <n v="224.71"/>
    <n v="2794"/>
    <n v="65907000"/>
    <n v="196.63"/>
    <n v="2983"/>
    <n v="12686000"/>
    <n v="0.87311335380429889"/>
    <n v="0.12688664619570109"/>
  </r>
  <r>
    <x v="2"/>
    <d v="2012-03-30T00:00:00"/>
    <x v="12"/>
    <n v="3"/>
    <n v="30"/>
    <n v="91900000"/>
    <n v="89049000"/>
    <n v="80792000"/>
    <n v="50042000"/>
    <n v="30751000"/>
    <n v="189543899"/>
    <n v="75292000"/>
    <n v="212.79"/>
    <n v="2826"/>
    <n v="62493000"/>
    <n v="187.88"/>
    <n v="3006"/>
    <n v="11108000"/>
    <n v="0.87912948857453754"/>
    <n v="0.12087051142546246"/>
  </r>
  <r>
    <x v="2"/>
    <d v="2012-03-23T00:00:00"/>
    <x v="12"/>
    <n v="3"/>
    <n v="23"/>
    <n v="84918000"/>
    <n v="81984000"/>
    <n v="75091000"/>
    <n v="45945000"/>
    <n v="29146000"/>
    <n v="179683890"/>
    <n v="70247000"/>
    <n v="200.91"/>
    <n v="2860"/>
    <n v="59082000"/>
    <n v="179.04"/>
    <n v="3030"/>
    <n v="9827000"/>
    <n v="0.88427659624579003"/>
    <n v="0.11572340375420995"/>
  </r>
  <r>
    <x v="2"/>
    <d v="2012-03-16T00:00:00"/>
    <x v="12"/>
    <n v="3"/>
    <n v="16"/>
    <n v="78348000"/>
    <n v="75284000"/>
    <n v="69675000"/>
    <n v="42111000"/>
    <n v="27564000"/>
    <n v="167038289"/>
    <n v="65073000"/>
    <n v="188.62"/>
    <n v="2899"/>
    <n v="55557000"/>
    <n v="169.75"/>
    <n v="3055"/>
    <n v="8673000"/>
    <n v="0.88930157757696426"/>
    <n v="0.11069842242303568"/>
  </r>
  <r>
    <x v="2"/>
    <d v="2012-03-09T00:00:00"/>
    <x v="12"/>
    <n v="3"/>
    <n v="9"/>
    <n v="71567000"/>
    <n v="68074000"/>
    <n v="64068000"/>
    <n v="38189000"/>
    <n v="25879000"/>
    <n v="167038289"/>
    <n v="59239000"/>
    <n v="174.4"/>
    <n v="2944"/>
    <n v="51392000"/>
    <n v="158.62"/>
    <n v="3086"/>
    <n v="7499000"/>
    <n v="0.8952170693196585"/>
    <n v="0.1047829306803415"/>
  </r>
  <r>
    <x v="2"/>
    <d v="2012-03-02T00:00:00"/>
    <x v="12"/>
    <n v="3"/>
    <n v="2"/>
    <n v="64265000"/>
    <n v="59561000"/>
    <n v="57981000"/>
    <n v="34026000"/>
    <n v="23955000"/>
    <n v="139202456"/>
    <n v="52399000"/>
    <n v="157.59"/>
    <n v="3007"/>
    <n v="46265000"/>
    <n v="144.97"/>
    <n v="3133"/>
    <n v="6284000"/>
    <n v="0.90221738115615036"/>
    <n v="9.7782618843849686E-2"/>
  </r>
  <r>
    <x v="4"/>
    <d v="2011-12-30T00:00:00"/>
    <x v="13"/>
    <n v="12"/>
    <n v="30"/>
    <n v="145320000"/>
    <n v="145062000"/>
    <n v="112203000"/>
    <n v="72426000"/>
    <n v="39777000"/>
    <n v="322540490"/>
    <n v="109337000"/>
    <n v="318.52999999999997"/>
    <n v="2913"/>
    <n v="79146000"/>
    <n v="246.08"/>
    <n v="3109"/>
    <n v="33117000"/>
    <n v="0.77210982658959537"/>
    <n v="0.22789017341040463"/>
  </r>
  <r>
    <x v="6"/>
    <d v="2011-06-10T00:00:00"/>
    <x v="13"/>
    <n v="6"/>
    <n v="10"/>
    <n v="134276000"/>
    <n v="133456000"/>
    <n v="106432000"/>
    <n v="68097000"/>
    <n v="38335000"/>
    <n v="226296316"/>
    <n v="103144000"/>
    <n v="289.33999999999997"/>
    <n v="2805"/>
    <n v="76434000"/>
    <n v="232.91"/>
    <n v="3047"/>
    <n v="27844000"/>
    <n v="0.79263606303434719"/>
    <n v="0.20736393696565283"/>
  </r>
  <r>
    <x v="6"/>
    <d v="2011-06-03T00:00:00"/>
    <x v="13"/>
    <n v="6"/>
    <n v="3"/>
    <n v="133808000"/>
    <n v="132530000"/>
    <n v="106233000"/>
    <n v="67962000"/>
    <n v="38272000"/>
    <n v="223723476"/>
    <n v="102728000"/>
    <n v="288.14999999999998"/>
    <n v="2805"/>
    <n v="76276000"/>
    <n v="232.31"/>
    <n v="3046"/>
    <n v="27575000"/>
    <n v="0.79392114073896924"/>
    <n v="0.20607885926103073"/>
  </r>
  <r>
    <x v="0"/>
    <d v="2011-05-13T00:00:00"/>
    <x v="13"/>
    <n v="5"/>
    <n v="13"/>
    <n v="132433000"/>
    <n v="128697000"/>
    <n v="105553000"/>
    <n v="67470000"/>
    <n v="38083000"/>
    <n v="213755988"/>
    <n v="101097000"/>
    <n v="284.08"/>
    <n v="2810"/>
    <n v="75701000"/>
    <n v="230.33"/>
    <n v="3043"/>
    <n v="26880000"/>
    <n v="0.79702944130239439"/>
    <n v="0.20297055869760558"/>
  </r>
  <r>
    <x v="0"/>
    <d v="2011-05-06T00:00:00"/>
    <x v="13"/>
    <n v="5"/>
    <n v="6"/>
    <n v="131828000"/>
    <n v="126507000"/>
    <n v="105277000"/>
    <n v="67303000"/>
    <n v="37974000"/>
    <n v="209783439"/>
    <n v="100252000"/>
    <n v="281.83999999999997"/>
    <n v="2811"/>
    <n v="75374000"/>
    <n v="229.23"/>
    <n v="3041"/>
    <n v="26551000"/>
    <n v="0.798593621992293"/>
    <n v="0.201406378007707"/>
  </r>
  <r>
    <x v="1"/>
    <d v="2011-04-29T00:00:00"/>
    <x v="13"/>
    <n v="4"/>
    <n v="29"/>
    <n v="130692000"/>
    <n v="123800000"/>
    <n v="104936000"/>
    <n v="67082000"/>
    <n v="37854000"/>
    <n v="204221980"/>
    <n v="98213000"/>
    <n v="277.14999999999998"/>
    <n v="2822"/>
    <n v="74653000"/>
    <n v="227.21"/>
    <n v="3044"/>
    <n v="25756000"/>
    <n v="0.80292596333363941"/>
    <n v="0.19707403666636061"/>
  </r>
  <r>
    <x v="1"/>
    <d v="2011-04-22T00:00:00"/>
    <x v="13"/>
    <n v="4"/>
    <n v="22"/>
    <n v="128559000"/>
    <n v="120279000"/>
    <n v="104516000"/>
    <n v="66842000"/>
    <n v="37673000"/>
    <n v="198745670"/>
    <n v="95745000"/>
    <n v="271.33"/>
    <n v="2834"/>
    <n v="73759000"/>
    <n v="224.63"/>
    <n v="3045"/>
    <n v="24043000"/>
    <n v="0.81298081036722436"/>
    <n v="0.18701918963277561"/>
  </r>
  <r>
    <x v="1"/>
    <d v="2011-04-15T00:00:00"/>
    <x v="13"/>
    <n v="4"/>
    <n v="15"/>
    <n v="111563000"/>
    <n v="107401000"/>
    <n v="93578000"/>
    <n v="60399000"/>
    <n v="33179000"/>
    <n v="184409608"/>
    <n v="88157000"/>
    <n v="252.6"/>
    <n v="2865"/>
    <n v="69030000"/>
    <n v="212.19"/>
    <n v="3074"/>
    <n v="17985000"/>
    <n v="0.83879063847332902"/>
    <n v="0.16120936152667104"/>
  </r>
  <r>
    <x v="1"/>
    <d v="2011-04-08T00:00:00"/>
    <x v="13"/>
    <n v="4"/>
    <n v="8"/>
    <n v="97029000"/>
    <n v="96153000"/>
    <n v="83656000"/>
    <n v="53652000"/>
    <n v="30004000"/>
    <n v="169633414"/>
    <n v="80874000"/>
    <n v="234.16"/>
    <n v="2895"/>
    <n v="64343000"/>
    <n v="199.49"/>
    <n v="3100"/>
    <n v="13373000"/>
    <n v="0.86217522596337182"/>
    <n v="0.13782477403662821"/>
  </r>
  <r>
    <x v="1"/>
    <d v="2011-04-01T00:00:00"/>
    <x v="13"/>
    <n v="4"/>
    <n v="1"/>
    <n v="89719000"/>
    <n v="87595000"/>
    <n v="76901000"/>
    <n v="48867000"/>
    <n v="28034000"/>
    <n v="158852544"/>
    <n v="75227000"/>
    <n v="219.79"/>
    <n v="2922"/>
    <n v="60700000"/>
    <n v="189.39"/>
    <n v="3120"/>
    <n v="12818000"/>
    <n v="0.85713171123173459"/>
    <n v="0.14286828876826535"/>
  </r>
  <r>
    <x v="2"/>
    <d v="2011-03-25T00:00:00"/>
    <x v="13"/>
    <n v="3"/>
    <n v="25"/>
    <n v="82281000"/>
    <n v="80318000"/>
    <n v="71072000"/>
    <n v="44717000"/>
    <n v="26355000"/>
    <n v="151305611"/>
    <n v="69955000"/>
    <n v="206.48"/>
    <n v="2952"/>
    <n v="57251000"/>
    <n v="179.83"/>
    <n v="3141"/>
    <n v="11209000"/>
    <n v="0.86377170914305856"/>
    <n v="0.13622829085694146"/>
  </r>
  <r>
    <x v="2"/>
    <d v="2011-03-18T00:00:00"/>
    <x v="13"/>
    <n v="3"/>
    <n v="18"/>
    <n v="74361000"/>
    <n v="73342000"/>
    <n v="64628000"/>
    <n v="40078000"/>
    <n v="24550000"/>
    <n v="138980918"/>
    <n v="64672000"/>
    <n v="193.06"/>
    <n v="2985"/>
    <n v="53736000"/>
    <n v="170.01"/>
    <n v="3164"/>
    <n v="9733000"/>
    <n v="0.86911149661785081"/>
    <n v="0.13088850338214925"/>
  </r>
  <r>
    <x v="2"/>
    <d v="2011-03-11T00:00:00"/>
    <x v="13"/>
    <n v="3"/>
    <n v="11"/>
    <n v="68195000"/>
    <n v="66159000"/>
    <n v="59948000"/>
    <n v="36840000"/>
    <n v="23108000"/>
    <n v="131128908"/>
    <n v="59005000"/>
    <n v="178.36"/>
    <n v="3023"/>
    <n v="49896000"/>
    <n v="159.08000000000001"/>
    <n v="3188"/>
    <n v="8247000"/>
    <n v="0.87906738030647413"/>
    <n v="0.12093261969352592"/>
  </r>
  <r>
    <x v="2"/>
    <d v="2011-03-04T00:00:00"/>
    <x v="13"/>
    <n v="3"/>
    <n v="4"/>
    <n v="60536000"/>
    <n v="58282000"/>
    <n v="53863000"/>
    <n v="32680000"/>
    <n v="21182000"/>
    <n v="119793481"/>
    <n v="52564000"/>
    <n v="161.35"/>
    <n v="3070"/>
    <n v="45357000"/>
    <n v="145.97"/>
    <n v="3218"/>
    <n v="6673000"/>
    <n v="0.88976807189110607"/>
    <n v="0.11023192810889389"/>
  </r>
  <r>
    <x v="3"/>
    <d v="2011-02-25T00:00:00"/>
    <x v="13"/>
    <n v="2"/>
    <n v="25"/>
    <n v="51927000"/>
    <n v="49278000"/>
    <n v="46868000"/>
    <n v="27983000"/>
    <n v="18885000"/>
    <n v="107028830"/>
    <n v="45077000"/>
    <n v="141.05000000000001"/>
    <n v="3129"/>
    <n v="39821000"/>
    <n v="129.68"/>
    <n v="3257"/>
    <n v="5059000"/>
    <n v="0.90257476842490414"/>
    <n v="9.7425231575095805E-2"/>
  </r>
  <r>
    <x v="4"/>
    <d v="2010-12-31T00:00:00"/>
    <x v="14"/>
    <n v="12"/>
    <n v="31"/>
    <n v="142449000"/>
    <n v="142196000"/>
    <n v="98740000"/>
    <n v="63893000"/>
    <n v="34848000"/>
    <n v="307466046"/>
    <n v="109376000"/>
    <n v="328.44"/>
    <n v="3003"/>
    <n v="74590000"/>
    <n v="238.05"/>
    <n v="3191"/>
    <n v="43709000"/>
    <n v="0.69316035914608032"/>
    <n v="0.30683964085391963"/>
  </r>
  <r>
    <x v="5"/>
    <d v="2010-10-15T00:00:00"/>
    <x v="14"/>
    <n v="10"/>
    <n v="15"/>
    <n v="138967000"/>
    <n v="138357000"/>
    <n v="97788000"/>
    <n v="63084000"/>
    <n v="34703000"/>
    <n v="272388327"/>
    <n v="107724000"/>
    <n v="315.86"/>
    <n v="2932"/>
    <n v="73078000"/>
    <n v="234.82"/>
    <n v="3170"/>
    <n v="41179000"/>
    <n v="0.70367785157627349"/>
    <n v="0.29632214842372651"/>
  </r>
  <r>
    <x v="6"/>
    <d v="2010-06-04T00:00:00"/>
    <x v="14"/>
    <n v="6"/>
    <n v="4"/>
    <n v="132050000"/>
    <n v="129054000"/>
    <n v="94604000"/>
    <n v="60607000"/>
    <n v="33998000"/>
    <n v="213744014"/>
    <n v="101820000"/>
    <n v="293.26"/>
    <n v="2880"/>
    <n v="72056000"/>
    <n v="226.06"/>
    <n v="3137"/>
    <n v="37446000"/>
    <n v="0.71642559636501324"/>
    <n v="0.28357440363498676"/>
  </r>
  <r>
    <x v="0"/>
    <d v="2010-05-14T00:00:00"/>
    <x v="14"/>
    <n v="5"/>
    <n v="14"/>
    <n v="130684000"/>
    <n v="123759000"/>
    <n v="94070000"/>
    <n v="60212000"/>
    <n v="33858000"/>
    <n v="202911715"/>
    <n v="99758000"/>
    <n v="287.77"/>
    <n v="2885"/>
    <n v="71463000"/>
    <n v="223.75"/>
    <n v="3131"/>
    <n v="36614000"/>
    <n v="0.7198279820023874"/>
    <n v="0.28017201799761254"/>
  </r>
  <r>
    <x v="0"/>
    <d v="2010-05-07T00:00:00"/>
    <x v="14"/>
    <n v="5"/>
    <n v="7"/>
    <n v="129981000"/>
    <n v="120897000"/>
    <n v="93752000"/>
    <n v="59990000"/>
    <n v="33762000"/>
    <n v="198557847"/>
    <n v="98709000"/>
    <n v="284.62"/>
    <n v="2883"/>
    <n v="71103000"/>
    <n v="222.51"/>
    <n v="3129"/>
    <n v="36229000"/>
    <n v="0.72127464783314488"/>
    <n v="0.27872535216685518"/>
  </r>
  <r>
    <x v="1"/>
    <d v="2010-04-30T00:00:00"/>
    <x v="14"/>
    <n v="4"/>
    <n v="30"/>
    <n v="129268000"/>
    <n v="118044000"/>
    <n v="93460000"/>
    <n v="59784000"/>
    <n v="33677000"/>
    <n v="194083748"/>
    <n v="96292000"/>
    <n v="277.98"/>
    <n v="2887"/>
    <n v="70332000"/>
    <n v="220.04"/>
    <n v="3129"/>
    <n v="35808000"/>
    <n v="0.72299408979793911"/>
    <n v="0.27700591020206083"/>
  </r>
  <r>
    <x v="1"/>
    <d v="2010-04-23T00:00:00"/>
    <x v="14"/>
    <n v="4"/>
    <n v="23"/>
    <n v="128046000"/>
    <n v="114065000"/>
    <n v="93114000"/>
    <n v="59539000"/>
    <n v="33576000"/>
    <n v="188929114"/>
    <n v="93289000"/>
    <n v="269.76"/>
    <n v="2892"/>
    <n v="69302000"/>
    <n v="216.68"/>
    <n v="3127"/>
    <n v="34932000"/>
    <n v="0.72719179045030691"/>
    <n v="0.27280820954969309"/>
  </r>
  <r>
    <x v="1"/>
    <d v="2010-04-09T00:00:00"/>
    <x v="14"/>
    <n v="4"/>
    <n v="9"/>
    <n v="98802000"/>
    <n v="93205000"/>
    <n v="77395000"/>
    <n v="50070000"/>
    <n v="27325000"/>
    <n v="162235522"/>
    <n v="79705000"/>
    <n v="234.31"/>
    <n v="2940"/>
    <n v="61428000"/>
    <n v="194.81"/>
    <n v="3171"/>
    <n v="21407000"/>
    <n v="0.78333434545859393"/>
    <n v="0.21666565454140604"/>
  </r>
  <r>
    <x v="1"/>
    <d v="2010-04-02T00:00:00"/>
    <x v="14"/>
    <n v="4"/>
    <n v="2"/>
    <n v="89970000"/>
    <n v="85221000"/>
    <n v="71628000"/>
    <n v="45981000"/>
    <n v="25647000"/>
    <n v="152055000"/>
    <n v="74115000"/>
    <n v="219.37"/>
    <n v="2960"/>
    <n v="58137000"/>
    <n v="185.24"/>
    <n v="3186"/>
    <n v="18342000"/>
    <n v="0.79613204401467152"/>
    <n v="0.20386795598532845"/>
  </r>
  <r>
    <x v="2"/>
    <d v="2010-03-26T00:00:00"/>
    <x v="14"/>
    <n v="3"/>
    <n v="26"/>
    <n v="82533000"/>
    <n v="77812000"/>
    <n v="66542000"/>
    <n v="42354000"/>
    <n v="24188000"/>
    <n v="141109467"/>
    <n v="68587000"/>
    <n v="204.26"/>
    <n v="2978"/>
    <n v="54738000"/>
    <n v="175.04"/>
    <n v="3198"/>
    <n v="15991000"/>
    <n v="0.80624719809046075"/>
    <n v="0.19375280190953922"/>
  </r>
  <r>
    <x v="2"/>
    <d v="2010-03-19T00:00:00"/>
    <x v="14"/>
    <n v="3"/>
    <n v="19"/>
    <n v="75561000"/>
    <n v="70948000"/>
    <n v="61650000"/>
    <n v="38898000"/>
    <n v="22752000"/>
    <n v="130831659"/>
    <n v="63255000"/>
    <n v="190.03"/>
    <n v="3004"/>
    <n v="51392000"/>
    <n v="165.16"/>
    <n v="3214"/>
    <n v="13911000"/>
    <n v="0.81589708976853137"/>
    <n v="0.1841029102314686"/>
  </r>
  <r>
    <x v="2"/>
    <d v="2010-03-12T00:00:00"/>
    <x v="14"/>
    <n v="3"/>
    <n v="12"/>
    <n v="68743000"/>
    <n v="64294000"/>
    <n v="56802000"/>
    <n v="35510000"/>
    <n v="21293000"/>
    <n v="120071838"/>
    <n v="57779000"/>
    <n v="175.42"/>
    <n v="3036"/>
    <n v="47893000"/>
    <n v="154.80000000000001"/>
    <n v="3232"/>
    <n v="11941000"/>
    <n v="0.82629504094962392"/>
    <n v="0.17370495905037603"/>
  </r>
  <r>
    <x v="2"/>
    <d v="2010-03-05T00:00:00"/>
    <x v="14"/>
    <n v="3"/>
    <n v="5"/>
    <n v="61287000"/>
    <n v="57211000"/>
    <n v="51600000"/>
    <n v="31880000"/>
    <n v="19720000"/>
    <n v="109663929"/>
    <n v="51980000"/>
    <n v="160.19"/>
    <n v="3082"/>
    <n v="44032000"/>
    <n v="143.6"/>
    <n v="3261"/>
    <n v="9687000"/>
    <n v="0.84194037887317053"/>
    <n v="0.1580596211268295"/>
  </r>
  <r>
    <x v="3"/>
    <d v="2010-02-26T00:00:00"/>
    <x v="14"/>
    <n v="2"/>
    <n v="26"/>
    <n v="53556000"/>
    <n v="49751000"/>
    <n v="45873000"/>
    <n v="28048000"/>
    <n v="17826000"/>
    <n v="98691224"/>
    <n v="45544000"/>
    <n v="143.41999999999999"/>
    <n v="3149"/>
    <n v="39569000"/>
    <n v="130.77000000000001"/>
    <n v="3305"/>
    <n v="7683000"/>
    <n v="0.85654268429307645"/>
    <n v="0.1434573157069236"/>
  </r>
  <r>
    <x v="4"/>
    <d v="2009-12-31T00:00:00"/>
    <x v="15"/>
    <n v="12"/>
    <n v="31"/>
    <n v="144360000"/>
    <n v="144132000"/>
    <n v="95478000"/>
    <n v="63285000"/>
    <n v="32193000"/>
    <n v="290132363"/>
    <n v="111721000"/>
    <n v="319.41000000000003"/>
    <n v="2859"/>
    <n v="73112000"/>
    <n v="220.99"/>
    <n v="3023"/>
    <n v="48882000"/>
    <n v="0.66138819617622613"/>
    <n v="0.33861180382377387"/>
  </r>
  <r>
    <x v="5"/>
    <d v="2009-10-16T00:00:00"/>
    <x v="15"/>
    <n v="10"/>
    <n v="16"/>
    <n v="141376000"/>
    <n v="140718000"/>
    <n v="94980000"/>
    <n v="62858000"/>
    <n v="32122000"/>
    <n v="266476336"/>
    <n v="110071000"/>
    <n v="303.07"/>
    <n v="2753"/>
    <n v="72717000"/>
    <n v="217.92"/>
    <n v="2997"/>
    <n v="46396000"/>
    <n v="0.67182548664554098"/>
    <n v="0.32817451335445902"/>
  </r>
  <r>
    <x v="0"/>
    <d v="2009-05-01T00:00:00"/>
    <x v="15"/>
    <n v="5"/>
    <n v="1"/>
    <n v="131560000"/>
    <n v="120965000"/>
    <n v="90935000"/>
    <n v="59617000"/>
    <n v="31318000"/>
    <n v="195382106"/>
    <n v="99896000"/>
    <n v="267.12"/>
    <n v="2674"/>
    <n v="69577000"/>
    <n v="204.96"/>
    <n v="2946"/>
    <n v="40625000"/>
    <n v="0.6912055335968379"/>
    <n v="0.30879446640316205"/>
  </r>
  <r>
    <x v="1"/>
    <d v="2009-04-24T00:00:00"/>
    <x v="15"/>
    <n v="4"/>
    <n v="24"/>
    <n v="131543000"/>
    <n v="117014000"/>
    <n v="90639000"/>
    <n v="59418000"/>
    <n v="31221000"/>
    <n v="190609211"/>
    <n v="96673000"/>
    <n v="257.39999999999998"/>
    <n v="2663"/>
    <n v="68647000"/>
    <n v="202.4"/>
    <n v="2948"/>
    <n v="40904000"/>
    <n v="0.68904464699755974"/>
    <n v="0.31095535300244026"/>
  </r>
  <r>
    <x v="1"/>
    <d v="2009-04-10T00:00:00"/>
    <x v="15"/>
    <n v="4"/>
    <n v="10"/>
    <n v="101892000"/>
    <n v="97425000"/>
    <n v="77003000"/>
    <n v="51169000"/>
    <n v="25834000"/>
    <n v="167850189"/>
    <n v="83642000"/>
    <n v="225.35"/>
    <n v="2694"/>
    <n v="61622000"/>
    <n v="182.77"/>
    <n v="2966"/>
    <n v="24889000"/>
    <n v="0.75573155890550781"/>
    <n v="0.24426844109449219"/>
  </r>
  <r>
    <x v="1"/>
    <d v="2009-04-03T00:00:00"/>
    <x v="15"/>
    <n v="4"/>
    <n v="3"/>
    <n v="92292000"/>
    <n v="89215000"/>
    <n v="70907000"/>
    <n v="46861000"/>
    <n v="24046000"/>
    <n v="156825000"/>
    <n v="77720000"/>
    <n v="210.24"/>
    <n v="2705"/>
    <n v="58294000"/>
    <n v="173.41"/>
    <n v="2975"/>
    <n v="21385000"/>
    <n v="0.7682897759285745"/>
    <n v="0.231710224071425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45D234-10BA-429E-9583-55C3DE4D9996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B16" firstHeaderRow="1" firstDataRow="1" firstDataCol="1" rowPageCount="1" colPageCount="1"/>
  <pivotFields count="20">
    <pivotField axis="axisRow" showAll="0">
      <items count="13">
        <item x="9"/>
        <item x="3"/>
        <item x="2"/>
        <item x="1"/>
        <item x="0"/>
        <item x="6"/>
        <item x="8"/>
        <item x="10"/>
        <item x="11"/>
        <item x="5"/>
        <item x="7"/>
        <item x="4"/>
        <item t="default"/>
      </items>
    </pivotField>
    <pivotField numFmtId="14" showAll="0"/>
    <pivotField axis="axisPage" outline="0" multipleItemSelectionAllowed="1" showAll="0">
      <items count="17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dataField="1"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8" showAll="0"/>
    <pivotField numFmtId="6" showAll="0"/>
    <pivotField numFmtId="3" showAll="0"/>
    <pivotField numFmtId="8" showAll="0"/>
    <pivotField numFmtId="6" showAll="0"/>
    <pivotField numFmtId="3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2" hier="-1"/>
  </pageFields>
  <dataFields count="1">
    <dataField name="Sum of Total returns_x000a_received" fld="5" baseField="0" baseItem="0"/>
  </dataField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EBD56-2C88-47E2-B8E2-9F597D3FA243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B16" firstHeaderRow="1" firstDataRow="1" firstDataCol="1" rowPageCount="1" colPageCount="1"/>
  <pivotFields count="20">
    <pivotField axis="axisRow" showAll="0">
      <items count="13">
        <item x="9"/>
        <item x="3"/>
        <item x="2"/>
        <item x="1"/>
        <item x="0"/>
        <item x="6"/>
        <item x="8"/>
        <item x="10"/>
        <item x="11"/>
        <item x="5"/>
        <item x="7"/>
        <item x="4"/>
        <item t="default"/>
      </items>
    </pivotField>
    <pivotField numFmtId="14" showAll="0"/>
    <pivotField axis="axisPage" outline="0" showAll="0">
      <items count="17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8" showAll="0"/>
    <pivotField numFmtId="6" showAll="0"/>
    <pivotField numFmtId="3" showAll="0"/>
    <pivotField numFmtId="8" showAll="0"/>
    <pivotField numFmtId="6" showAll="0"/>
    <pivotField dataField="1" numFmtId="3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2" hier="-1"/>
  </pageFields>
  <dataFields count="1">
    <dataField name="Sum of Paper filling" fld="1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A2CB47-17CE-431A-8F35-BCD464E885CD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C16" firstHeaderRow="0" firstDataRow="1" firstDataCol="1" rowPageCount="1" colPageCount="1"/>
  <pivotFields count="20">
    <pivotField axis="axisRow" showAll="0">
      <items count="13">
        <item x="9"/>
        <item x="3"/>
        <item x="2"/>
        <item x="1"/>
        <item x="0"/>
        <item x="6"/>
        <item x="8"/>
        <item x="10"/>
        <item x="11"/>
        <item x="5"/>
        <item x="7"/>
        <item x="4"/>
        <item t="default"/>
      </items>
    </pivotField>
    <pivotField numFmtId="14" showAll="0"/>
    <pivotField axis="axisPage" outline="0" showAll="0">
      <items count="17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8" showAll="0"/>
    <pivotField dataField="1" numFmtId="6" showAll="0"/>
    <pivotField numFmtId="3" showAll="0"/>
    <pivotField numFmtId="8" showAll="0"/>
    <pivotField dataField="1" numFmtId="6" showAll="0"/>
    <pivotField numFmtId="3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(ddr)Average_x000a_refund" fld="16" baseField="0" baseItem="0"/>
    <dataField name="Sum of Average_x000a_refund" fld="13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FD8A5-6880-445D-8556-3C61172DD543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C20" firstHeaderRow="0" firstDataRow="1" firstDataCol="1"/>
  <pivotFields count="19">
    <pivotField numFmtId="14" showAll="0"/>
    <pivotField axis="axisRow" showAll="0">
      <items count="17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8" showAll="0"/>
    <pivotField numFmtId="6" showAll="0"/>
    <pivotField numFmtId="3" showAll="0"/>
    <pivotField numFmtId="8" showAll="0"/>
    <pivotField numFmtId="6" showAll="0"/>
    <pivotField numFmtId="3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oPortion e-filling" fld="17" subtotal="average" baseField="1" baseItem="7"/>
    <dataField name="Average of Proportion Paper filling" fld="18" subtotal="average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5EDBB-8C12-4C5F-8267-C0429C0D35DD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16" firstHeaderRow="1" firstDataRow="1" firstDataCol="1" rowPageCount="1" colPageCount="1"/>
  <pivotFields count="20">
    <pivotField axis="axisRow" showAll="0">
      <items count="13">
        <item x="9"/>
        <item x="3"/>
        <item x="2"/>
        <item x="1"/>
        <item x="0"/>
        <item x="6"/>
        <item x="8"/>
        <item x="10"/>
        <item x="11"/>
        <item x="5"/>
        <item x="7"/>
        <item x="4"/>
        <item t="default"/>
      </items>
    </pivotField>
    <pivotField numFmtId="14" showAll="0"/>
    <pivotField axis="axisPage" outline="0" showAll="0">
      <items count="17"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numFmtId="3" showAll="0"/>
    <pivotField numFmtId="8" showAll="0"/>
    <pivotField numFmtId="6" showAll="0"/>
    <pivotField numFmtId="3" showAll="0"/>
    <pivotField numFmtId="8" showAll="0"/>
    <pivotField numFmtId="6" showAll="0"/>
    <pivotField numFmtId="3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2" hier="-1"/>
  </pageFields>
  <dataFields count="1">
    <dataField name="Sum of Visits to_x000a_IRS.gov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7913-B637-4CC0-B50D-55EB3B2F12B7}">
  <dimension ref="A1:T330"/>
  <sheetViews>
    <sheetView tabSelected="1" workbookViewId="0">
      <selection sqref="A1:Q1"/>
    </sheetView>
  </sheetViews>
  <sheetFormatPr defaultRowHeight="15" x14ac:dyDescent="0.25"/>
  <cols>
    <col min="1" max="1" width="12.85546875" bestFit="1" customWidth="1"/>
    <col min="2" max="2" width="10.7109375" bestFit="1" customWidth="1"/>
    <col min="6" max="6" width="19.7109375" customWidth="1"/>
    <col min="7" max="8" width="11.140625" bestFit="1" customWidth="1"/>
    <col min="9" max="9" width="10.140625" bestFit="1" customWidth="1"/>
    <col min="10" max="10" width="13.42578125" bestFit="1" customWidth="1"/>
    <col min="11" max="11" width="12.7109375" bestFit="1" customWidth="1"/>
    <col min="12" max="12" width="11.140625" bestFit="1" customWidth="1"/>
    <col min="15" max="15" width="11.140625" bestFit="1" customWidth="1"/>
    <col min="18" max="18" width="10.140625" bestFit="1" customWidth="1"/>
    <col min="20" max="20" width="13.42578125" customWidth="1"/>
  </cols>
  <sheetData>
    <row r="1" spans="1:20" ht="21" x14ac:dyDescent="0.3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20" s="10" customFormat="1" ht="15.75" x14ac:dyDescent="0.25">
      <c r="A2" s="13" t="s">
        <v>19</v>
      </c>
      <c r="B2" s="13"/>
      <c r="C2" s="13"/>
      <c r="D2" s="13"/>
      <c r="E2" s="13"/>
      <c r="F2" s="13" t="s">
        <v>3</v>
      </c>
      <c r="G2" s="13"/>
      <c r="H2" s="13" t="s">
        <v>4</v>
      </c>
      <c r="I2" s="13"/>
      <c r="J2" s="13"/>
      <c r="K2" s="10" t="s">
        <v>5</v>
      </c>
      <c r="L2" s="13" t="s">
        <v>6</v>
      </c>
      <c r="M2" s="13"/>
      <c r="N2" s="13"/>
      <c r="O2" s="13" t="s">
        <v>7</v>
      </c>
      <c r="P2" s="13"/>
      <c r="Q2" s="13"/>
    </row>
    <row r="3" spans="1:20" s="9" customFormat="1" ht="90" x14ac:dyDescent="0.25">
      <c r="A3" s="9" t="s">
        <v>44</v>
      </c>
      <c r="B3" s="9" t="s">
        <v>26</v>
      </c>
      <c r="C3" s="9" t="s">
        <v>27</v>
      </c>
      <c r="D3" s="9" t="s">
        <v>1</v>
      </c>
      <c r="E3" s="9" t="s">
        <v>2</v>
      </c>
      <c r="F3" s="11" t="s">
        <v>8</v>
      </c>
      <c r="G3" s="9" t="s">
        <v>9</v>
      </c>
      <c r="H3" s="9" t="s">
        <v>10</v>
      </c>
      <c r="I3" s="11" t="s">
        <v>11</v>
      </c>
      <c r="J3" s="9" t="s">
        <v>12</v>
      </c>
      <c r="K3" s="11" t="s">
        <v>13</v>
      </c>
      <c r="L3" s="9" t="s">
        <v>14</v>
      </c>
      <c r="M3" s="11" t="s">
        <v>15</v>
      </c>
      <c r="N3" s="11" t="s">
        <v>16</v>
      </c>
      <c r="O3" s="9" t="s">
        <v>23</v>
      </c>
      <c r="P3" s="11" t="s">
        <v>25</v>
      </c>
      <c r="Q3" s="11" t="s">
        <v>24</v>
      </c>
      <c r="R3" s="11" t="s">
        <v>20</v>
      </c>
      <c r="S3" s="11" t="s">
        <v>21</v>
      </c>
      <c r="T3" s="11" t="s">
        <v>22</v>
      </c>
    </row>
    <row r="4" spans="1:20" x14ac:dyDescent="0.25">
      <c r="A4" t="str">
        <f>TEXT(B4,"mmmm")</f>
        <v>May</v>
      </c>
      <c r="B4" s="5">
        <f>DATE(C4,D4,E4)</f>
        <v>45422</v>
      </c>
      <c r="C4">
        <v>2024</v>
      </c>
      <c r="D4">
        <v>5</v>
      </c>
      <c r="E4">
        <v>10</v>
      </c>
      <c r="F4" s="2">
        <v>144018000</v>
      </c>
      <c r="G4" s="2">
        <v>141317000</v>
      </c>
      <c r="H4" s="2">
        <v>137394000</v>
      </c>
      <c r="I4" s="2">
        <v>73531000</v>
      </c>
      <c r="J4" s="2">
        <v>63864000</v>
      </c>
      <c r="K4" s="2">
        <v>623409000</v>
      </c>
      <c r="L4" s="2">
        <v>93940000</v>
      </c>
      <c r="M4" s="3">
        <v>269.49</v>
      </c>
      <c r="N4" s="4">
        <v>2869</v>
      </c>
      <c r="O4" s="2">
        <v>86665000</v>
      </c>
      <c r="P4" s="3">
        <v>256.56</v>
      </c>
      <c r="Q4" s="4">
        <v>2960</v>
      </c>
      <c r="R4" s="2">
        <f>F4-H4</f>
        <v>6624000</v>
      </c>
      <c r="S4">
        <f>H4/F4</f>
        <v>0.95400574928133985</v>
      </c>
      <c r="T4">
        <f>R4/F4</f>
        <v>4.5994250718660167E-2</v>
      </c>
    </row>
    <row r="5" spans="1:20" x14ac:dyDescent="0.25">
      <c r="A5" t="str">
        <f t="shared" ref="A5:A68" si="0">TEXT(B5,"mmmm")</f>
        <v>May</v>
      </c>
      <c r="B5" s="5">
        <f t="shared" ref="B5:B68" si="1">DATE(C5,D5,E5)</f>
        <v>45415</v>
      </c>
      <c r="C5">
        <v>2024</v>
      </c>
      <c r="D5">
        <v>5</v>
      </c>
      <c r="E5">
        <v>3</v>
      </c>
      <c r="F5" s="2">
        <v>142814000</v>
      </c>
      <c r="G5" s="2">
        <v>139946000</v>
      </c>
      <c r="H5" s="2">
        <v>136642000</v>
      </c>
      <c r="I5" s="2">
        <v>72920000</v>
      </c>
      <c r="J5" s="2">
        <v>63722000</v>
      </c>
      <c r="K5" s="2">
        <v>608730000</v>
      </c>
      <c r="L5" s="2">
        <v>92878000</v>
      </c>
      <c r="M5" s="3">
        <v>265.98</v>
      </c>
      <c r="N5" s="4">
        <v>2864</v>
      </c>
      <c r="O5" s="2">
        <v>85844000</v>
      </c>
      <c r="P5" s="3">
        <v>253.73</v>
      </c>
      <c r="Q5" s="4">
        <v>2956</v>
      </c>
      <c r="R5" s="2">
        <f t="shared" ref="R5:R68" si="2">F5-H5</f>
        <v>6172000</v>
      </c>
      <c r="S5">
        <f t="shared" ref="S5:S68" si="3">H5/F5</f>
        <v>0.95678294845043199</v>
      </c>
      <c r="T5">
        <f t="shared" ref="T5:T68" si="4">R5/F5</f>
        <v>4.3217051549567967E-2</v>
      </c>
    </row>
    <row r="6" spans="1:20" x14ac:dyDescent="0.25">
      <c r="A6" t="str">
        <f t="shared" si="0"/>
        <v>April</v>
      </c>
      <c r="B6" s="5">
        <f t="shared" si="1"/>
        <v>45408</v>
      </c>
      <c r="C6">
        <v>2024</v>
      </c>
      <c r="D6">
        <v>4</v>
      </c>
      <c r="E6">
        <v>26</v>
      </c>
      <c r="F6" s="2">
        <v>141363000</v>
      </c>
      <c r="G6" s="2">
        <v>138356000</v>
      </c>
      <c r="H6" s="2">
        <v>135724000</v>
      </c>
      <c r="I6" s="2">
        <v>72201000</v>
      </c>
      <c r="J6" s="2">
        <v>63523000</v>
      </c>
      <c r="K6" s="2">
        <v>591742000</v>
      </c>
      <c r="L6" s="2">
        <v>91359000</v>
      </c>
      <c r="M6" s="3">
        <v>260.56</v>
      </c>
      <c r="N6" s="4">
        <v>2852</v>
      </c>
      <c r="O6" s="2">
        <v>84661000</v>
      </c>
      <c r="P6" s="3">
        <v>249.31</v>
      </c>
      <c r="Q6" s="4">
        <v>2945</v>
      </c>
      <c r="R6" s="2">
        <f t="shared" si="2"/>
        <v>5639000</v>
      </c>
      <c r="S6">
        <f t="shared" si="3"/>
        <v>0.96010978827557425</v>
      </c>
      <c r="T6">
        <f t="shared" si="4"/>
        <v>3.9890211724425771E-2</v>
      </c>
    </row>
    <row r="7" spans="1:20" x14ac:dyDescent="0.25">
      <c r="A7" t="str">
        <f t="shared" si="0"/>
        <v>April</v>
      </c>
      <c r="B7" s="5">
        <f t="shared" si="1"/>
        <v>45401</v>
      </c>
      <c r="C7">
        <v>2024</v>
      </c>
      <c r="D7">
        <v>4</v>
      </c>
      <c r="E7">
        <v>19</v>
      </c>
      <c r="F7" s="2">
        <v>139137000</v>
      </c>
      <c r="G7" s="2">
        <v>136069000</v>
      </c>
      <c r="H7" s="2">
        <v>134531000</v>
      </c>
      <c r="I7" s="2">
        <v>71327000</v>
      </c>
      <c r="J7" s="2">
        <v>63204000</v>
      </c>
      <c r="K7" s="2">
        <v>571496000</v>
      </c>
      <c r="L7" s="2">
        <v>86058000</v>
      </c>
      <c r="M7" s="3">
        <v>245.23</v>
      </c>
      <c r="N7" s="4">
        <v>2850</v>
      </c>
      <c r="O7" s="2">
        <v>80028000</v>
      </c>
      <c r="P7" s="3">
        <v>235.82</v>
      </c>
      <c r="Q7" s="4">
        <v>2947</v>
      </c>
      <c r="R7" s="2">
        <f t="shared" si="2"/>
        <v>4606000</v>
      </c>
      <c r="S7">
        <f t="shared" si="3"/>
        <v>0.96689593709796817</v>
      </c>
      <c r="T7">
        <f t="shared" si="4"/>
        <v>3.3104062902031807E-2</v>
      </c>
    </row>
    <row r="8" spans="1:20" x14ac:dyDescent="0.25">
      <c r="A8" t="str">
        <f t="shared" si="0"/>
        <v>April</v>
      </c>
      <c r="B8" s="5">
        <f t="shared" si="1"/>
        <v>45394</v>
      </c>
      <c r="C8">
        <v>2024</v>
      </c>
      <c r="D8">
        <v>4</v>
      </c>
      <c r="E8">
        <v>12</v>
      </c>
      <c r="F8" s="2">
        <v>119592000</v>
      </c>
      <c r="G8" s="2">
        <v>118114000</v>
      </c>
      <c r="H8" s="2">
        <v>115734000</v>
      </c>
      <c r="I8" s="2">
        <v>63318000</v>
      </c>
      <c r="J8" s="2">
        <v>52416000</v>
      </c>
      <c r="K8" s="2">
        <v>533981000</v>
      </c>
      <c r="L8" s="2">
        <v>74685000</v>
      </c>
      <c r="M8" s="3">
        <v>220.15</v>
      </c>
      <c r="N8" s="4">
        <v>2948</v>
      </c>
      <c r="O8" s="2">
        <v>70369000</v>
      </c>
      <c r="P8" s="3">
        <v>213.29</v>
      </c>
      <c r="Q8" s="4">
        <v>3031</v>
      </c>
      <c r="R8" s="2">
        <f t="shared" si="2"/>
        <v>3858000</v>
      </c>
      <c r="S8">
        <f t="shared" si="3"/>
        <v>0.9677403170780654</v>
      </c>
      <c r="T8">
        <f t="shared" si="4"/>
        <v>3.2259682921934575E-2</v>
      </c>
    </row>
    <row r="9" spans="1:20" x14ac:dyDescent="0.25">
      <c r="A9" t="str">
        <f t="shared" si="0"/>
        <v>April</v>
      </c>
      <c r="B9" s="5">
        <f t="shared" si="1"/>
        <v>45387</v>
      </c>
      <c r="C9">
        <v>2024</v>
      </c>
      <c r="D9">
        <v>4</v>
      </c>
      <c r="E9">
        <v>5</v>
      </c>
      <c r="F9" s="2">
        <v>101849000</v>
      </c>
      <c r="G9" s="2">
        <v>100110000</v>
      </c>
      <c r="H9" s="2">
        <v>98421000</v>
      </c>
      <c r="I9" s="2">
        <v>53157000</v>
      </c>
      <c r="J9" s="2">
        <v>45264000</v>
      </c>
      <c r="K9" s="2">
        <v>497397000</v>
      </c>
      <c r="L9" s="2">
        <v>66799000</v>
      </c>
      <c r="M9" s="3">
        <v>201.12</v>
      </c>
      <c r="N9" s="4">
        <v>3011</v>
      </c>
      <c r="O9" s="2">
        <v>63445000</v>
      </c>
      <c r="P9" s="3">
        <v>195.9</v>
      </c>
      <c r="Q9" s="4">
        <v>3088</v>
      </c>
      <c r="R9" s="2">
        <f t="shared" si="2"/>
        <v>3428000</v>
      </c>
      <c r="S9">
        <f t="shared" si="3"/>
        <v>0.96634233031252148</v>
      </c>
      <c r="T9">
        <f t="shared" si="4"/>
        <v>3.365766968747852E-2</v>
      </c>
    </row>
    <row r="10" spans="1:20" x14ac:dyDescent="0.25">
      <c r="A10" t="str">
        <f t="shared" si="0"/>
        <v>March</v>
      </c>
      <c r="B10" s="5">
        <f t="shared" si="1"/>
        <v>45380</v>
      </c>
      <c r="C10">
        <v>2024</v>
      </c>
      <c r="D10">
        <v>3</v>
      </c>
      <c r="E10">
        <v>29</v>
      </c>
      <c r="F10" s="2">
        <v>90315000</v>
      </c>
      <c r="G10" s="2">
        <v>88800000</v>
      </c>
      <c r="H10" s="2">
        <v>87369000</v>
      </c>
      <c r="I10" s="2">
        <v>46302000</v>
      </c>
      <c r="J10" s="2">
        <v>41068000</v>
      </c>
      <c r="K10" s="2">
        <v>467978000</v>
      </c>
      <c r="L10" s="2">
        <v>60858000</v>
      </c>
      <c r="M10" s="3">
        <v>185.64</v>
      </c>
      <c r="N10" s="4">
        <v>3050</v>
      </c>
      <c r="O10" s="2">
        <v>58126000</v>
      </c>
      <c r="P10" s="3">
        <v>181.61</v>
      </c>
      <c r="Q10" s="4">
        <v>3124</v>
      </c>
      <c r="R10" s="2">
        <f t="shared" si="2"/>
        <v>2946000</v>
      </c>
      <c r="S10">
        <f t="shared" si="3"/>
        <v>0.96738083374854678</v>
      </c>
      <c r="T10">
        <f t="shared" si="4"/>
        <v>3.2619166251453245E-2</v>
      </c>
    </row>
    <row r="11" spans="1:20" x14ac:dyDescent="0.25">
      <c r="A11" t="str">
        <f t="shared" si="0"/>
        <v>March</v>
      </c>
      <c r="B11" s="5">
        <f t="shared" si="1"/>
        <v>45373</v>
      </c>
      <c r="C11">
        <v>2024</v>
      </c>
      <c r="D11">
        <v>3</v>
      </c>
      <c r="E11">
        <v>22</v>
      </c>
      <c r="F11" s="2">
        <v>80470000</v>
      </c>
      <c r="G11" s="2">
        <v>79243000</v>
      </c>
      <c r="H11" s="2">
        <v>78023000</v>
      </c>
      <c r="I11" s="2">
        <v>40311000</v>
      </c>
      <c r="J11" s="2">
        <v>37713000</v>
      </c>
      <c r="K11" s="2">
        <v>441085000</v>
      </c>
      <c r="L11" s="2">
        <v>54990000</v>
      </c>
      <c r="M11" s="3">
        <v>169.41</v>
      </c>
      <c r="N11" s="4">
        <v>3081</v>
      </c>
      <c r="O11" s="2">
        <v>52795000</v>
      </c>
      <c r="P11" s="3">
        <v>166.42</v>
      </c>
      <c r="Q11" s="4">
        <v>3152</v>
      </c>
      <c r="R11" s="2">
        <f t="shared" si="2"/>
        <v>2447000</v>
      </c>
      <c r="S11">
        <f t="shared" si="3"/>
        <v>0.9695911519821051</v>
      </c>
      <c r="T11">
        <f t="shared" si="4"/>
        <v>3.0408848017894868E-2</v>
      </c>
    </row>
    <row r="12" spans="1:20" x14ac:dyDescent="0.25">
      <c r="A12" t="str">
        <f t="shared" si="0"/>
        <v>March</v>
      </c>
      <c r="B12" s="5">
        <f t="shared" si="1"/>
        <v>45366</v>
      </c>
      <c r="C12">
        <v>2024</v>
      </c>
      <c r="D12">
        <v>3</v>
      </c>
      <c r="E12">
        <v>15</v>
      </c>
      <c r="F12" s="2">
        <v>71587000</v>
      </c>
      <c r="G12" s="2">
        <v>70569000</v>
      </c>
      <c r="H12" s="2">
        <v>69543000</v>
      </c>
      <c r="I12" s="2">
        <v>34880000</v>
      </c>
      <c r="J12" s="2">
        <v>34664000</v>
      </c>
      <c r="K12" s="2">
        <v>411961000</v>
      </c>
      <c r="L12" s="2">
        <v>49145000</v>
      </c>
      <c r="M12" s="3">
        <v>152.77000000000001</v>
      </c>
      <c r="N12" s="4">
        <v>3109</v>
      </c>
      <c r="O12" s="2">
        <v>47425000</v>
      </c>
      <c r="P12" s="3">
        <v>150.66999999999999</v>
      </c>
      <c r="Q12" s="4">
        <v>3177</v>
      </c>
      <c r="R12" s="2">
        <f t="shared" si="2"/>
        <v>2044000</v>
      </c>
      <c r="S12">
        <f t="shared" si="3"/>
        <v>0.97144732982245374</v>
      </c>
      <c r="T12">
        <f t="shared" si="4"/>
        <v>2.8552670177546202E-2</v>
      </c>
    </row>
    <row r="13" spans="1:20" x14ac:dyDescent="0.25">
      <c r="A13" t="str">
        <f t="shared" si="0"/>
        <v>March</v>
      </c>
      <c r="B13" s="5">
        <f t="shared" si="1"/>
        <v>45359</v>
      </c>
      <c r="C13">
        <v>2024</v>
      </c>
      <c r="D13">
        <v>3</v>
      </c>
      <c r="E13">
        <v>8</v>
      </c>
      <c r="F13" s="2">
        <v>62761000</v>
      </c>
      <c r="G13" s="2">
        <v>61877000</v>
      </c>
      <c r="H13" s="2">
        <v>61165000</v>
      </c>
      <c r="I13" s="2">
        <v>29644000</v>
      </c>
      <c r="J13" s="2">
        <v>31521000</v>
      </c>
      <c r="K13" s="2">
        <v>376622000</v>
      </c>
      <c r="L13" s="2">
        <v>43020000</v>
      </c>
      <c r="M13" s="3">
        <v>135.28</v>
      </c>
      <c r="N13" s="4">
        <v>3145</v>
      </c>
      <c r="O13" s="2">
        <v>41719000</v>
      </c>
      <c r="P13" s="3">
        <v>133.9</v>
      </c>
      <c r="Q13" s="4">
        <v>3209</v>
      </c>
      <c r="R13" s="2">
        <f t="shared" si="2"/>
        <v>1596000</v>
      </c>
      <c r="S13">
        <f t="shared" si="3"/>
        <v>0.97457019486623864</v>
      </c>
      <c r="T13">
        <f t="shared" si="4"/>
        <v>2.5429805133761411E-2</v>
      </c>
    </row>
    <row r="14" spans="1:20" x14ac:dyDescent="0.25">
      <c r="A14" t="str">
        <f t="shared" si="0"/>
        <v>March</v>
      </c>
      <c r="B14" s="5">
        <f t="shared" si="1"/>
        <v>45352</v>
      </c>
      <c r="C14">
        <v>2024</v>
      </c>
      <c r="D14">
        <v>3</v>
      </c>
      <c r="E14">
        <v>1</v>
      </c>
      <c r="F14" s="2">
        <v>54030000</v>
      </c>
      <c r="G14" s="2">
        <v>53231000</v>
      </c>
      <c r="H14" s="2">
        <v>52795000</v>
      </c>
      <c r="I14" s="2">
        <v>24516000</v>
      </c>
      <c r="J14" s="2">
        <v>28279000</v>
      </c>
      <c r="K14" s="2">
        <v>337328000</v>
      </c>
      <c r="L14" s="2">
        <v>36288000</v>
      </c>
      <c r="M14" s="3">
        <v>115.47</v>
      </c>
      <c r="N14" s="4">
        <v>3182</v>
      </c>
      <c r="O14" s="2">
        <v>35369000</v>
      </c>
      <c r="P14" s="3">
        <v>114.74</v>
      </c>
      <c r="Q14" s="4">
        <v>3244</v>
      </c>
      <c r="R14" s="2">
        <f t="shared" si="2"/>
        <v>1235000</v>
      </c>
      <c r="S14">
        <f t="shared" si="3"/>
        <v>0.97714232833610959</v>
      </c>
      <c r="T14">
        <f t="shared" si="4"/>
        <v>2.2857671663890432E-2</v>
      </c>
    </row>
    <row r="15" spans="1:20" x14ac:dyDescent="0.25">
      <c r="A15" t="str">
        <f t="shared" si="0"/>
        <v>February</v>
      </c>
      <c r="B15" s="5">
        <f t="shared" si="1"/>
        <v>45345</v>
      </c>
      <c r="C15">
        <v>2024</v>
      </c>
      <c r="D15">
        <v>2</v>
      </c>
      <c r="E15">
        <v>23</v>
      </c>
      <c r="F15" s="2">
        <v>44584000</v>
      </c>
      <c r="G15" s="2">
        <v>44073000</v>
      </c>
      <c r="H15" s="2">
        <v>43661000</v>
      </c>
      <c r="I15" s="2">
        <v>19290000</v>
      </c>
      <c r="J15" s="2">
        <v>24371000</v>
      </c>
      <c r="K15" s="2">
        <v>292164000</v>
      </c>
      <c r="L15" s="2">
        <v>28945000</v>
      </c>
      <c r="M15" s="3">
        <v>92.99</v>
      </c>
      <c r="N15" s="4">
        <v>3213</v>
      </c>
      <c r="O15" s="2">
        <v>28374000</v>
      </c>
      <c r="P15" s="3">
        <v>92.84</v>
      </c>
      <c r="Q15" s="4">
        <v>3272</v>
      </c>
      <c r="R15" s="2">
        <f t="shared" si="2"/>
        <v>923000</v>
      </c>
      <c r="S15">
        <f t="shared" si="3"/>
        <v>0.97929750583168851</v>
      </c>
      <c r="T15">
        <f t="shared" si="4"/>
        <v>2.0702494168311502E-2</v>
      </c>
    </row>
    <row r="16" spans="1:20" x14ac:dyDescent="0.25">
      <c r="A16" t="str">
        <f t="shared" si="0"/>
        <v>February</v>
      </c>
      <c r="B16" s="5">
        <f t="shared" si="1"/>
        <v>45338</v>
      </c>
      <c r="C16">
        <v>2024</v>
      </c>
      <c r="D16">
        <v>2</v>
      </c>
      <c r="E16">
        <v>16</v>
      </c>
      <c r="F16" s="2">
        <v>34743000</v>
      </c>
      <c r="G16" s="2">
        <v>34546000</v>
      </c>
      <c r="H16" s="2">
        <v>34071000</v>
      </c>
      <c r="I16" s="2">
        <v>14138000</v>
      </c>
      <c r="J16" s="2">
        <v>19933000</v>
      </c>
      <c r="K16" s="2">
        <v>231436000</v>
      </c>
      <c r="L16" s="2">
        <v>20883000</v>
      </c>
      <c r="M16" s="3">
        <v>66.98</v>
      </c>
      <c r="N16" s="4">
        <v>3207</v>
      </c>
      <c r="O16" s="2">
        <v>20574000</v>
      </c>
      <c r="P16" s="3">
        <v>67.180000000000007</v>
      </c>
      <c r="Q16" s="4">
        <v>3265</v>
      </c>
      <c r="R16" s="2">
        <f t="shared" si="2"/>
        <v>672000</v>
      </c>
      <c r="S16">
        <f t="shared" si="3"/>
        <v>0.9806579742681979</v>
      </c>
      <c r="T16">
        <f t="shared" si="4"/>
        <v>1.934202573180209E-2</v>
      </c>
    </row>
    <row r="17" spans="1:20" x14ac:dyDescent="0.25">
      <c r="A17" t="str">
        <f t="shared" si="0"/>
        <v>February</v>
      </c>
      <c r="B17" s="5">
        <f t="shared" si="1"/>
        <v>45331</v>
      </c>
      <c r="C17">
        <v>2024</v>
      </c>
      <c r="D17">
        <v>2</v>
      </c>
      <c r="E17">
        <v>9</v>
      </c>
      <c r="F17" s="2">
        <v>25553000</v>
      </c>
      <c r="G17" s="2">
        <v>25443000</v>
      </c>
      <c r="H17" s="2">
        <v>24989000</v>
      </c>
      <c r="I17" s="2">
        <v>9420000</v>
      </c>
      <c r="J17" s="2">
        <v>15570000</v>
      </c>
      <c r="K17" s="2">
        <v>158617000</v>
      </c>
      <c r="L17" s="2">
        <v>7483000</v>
      </c>
      <c r="M17" s="3">
        <v>13.03</v>
      </c>
      <c r="N17" s="4">
        <v>1741</v>
      </c>
      <c r="O17" s="2">
        <v>7417000</v>
      </c>
      <c r="P17" s="3">
        <v>13.58</v>
      </c>
      <c r="Q17" s="4">
        <v>1831</v>
      </c>
      <c r="R17" s="2">
        <f t="shared" si="2"/>
        <v>564000</v>
      </c>
      <c r="S17">
        <f t="shared" si="3"/>
        <v>0.97792822760536924</v>
      </c>
      <c r="T17">
        <f t="shared" si="4"/>
        <v>2.2071772394630769E-2</v>
      </c>
    </row>
    <row r="18" spans="1:20" x14ac:dyDescent="0.25">
      <c r="A18" t="str">
        <f t="shared" si="0"/>
        <v>February</v>
      </c>
      <c r="B18" s="5">
        <f t="shared" si="1"/>
        <v>45324</v>
      </c>
      <c r="C18">
        <v>2024</v>
      </c>
      <c r="D18">
        <v>2</v>
      </c>
      <c r="E18">
        <v>2</v>
      </c>
      <c r="F18" s="2">
        <v>15318000</v>
      </c>
      <c r="G18" s="2">
        <v>13928000</v>
      </c>
      <c r="H18" s="2">
        <v>14909000</v>
      </c>
      <c r="I18" s="2">
        <v>4874000</v>
      </c>
      <c r="J18" s="2">
        <v>10035000</v>
      </c>
      <c r="K18" s="2">
        <v>104788000</v>
      </c>
      <c r="L18" s="2">
        <v>2616000</v>
      </c>
      <c r="M18" s="3">
        <v>3.65</v>
      </c>
      <c r="N18" s="4">
        <v>1395</v>
      </c>
      <c r="O18" s="2">
        <v>2645000</v>
      </c>
      <c r="P18" s="3">
        <v>4.08</v>
      </c>
      <c r="Q18" s="4">
        <v>1543</v>
      </c>
      <c r="R18" s="2">
        <f t="shared" si="2"/>
        <v>409000</v>
      </c>
      <c r="S18">
        <f t="shared" si="3"/>
        <v>0.97329938634286461</v>
      </c>
      <c r="T18">
        <f t="shared" si="4"/>
        <v>2.6700613657135396E-2</v>
      </c>
    </row>
    <row r="19" spans="1:20" x14ac:dyDescent="0.25">
      <c r="A19" t="str">
        <f t="shared" si="0"/>
        <v>December</v>
      </c>
      <c r="B19" s="5">
        <f t="shared" si="1"/>
        <v>45289</v>
      </c>
      <c r="C19">
        <v>2023</v>
      </c>
      <c r="D19">
        <v>12</v>
      </c>
      <c r="E19">
        <v>29</v>
      </c>
      <c r="F19" s="2">
        <v>162037000</v>
      </c>
      <c r="G19" s="2">
        <v>162952000</v>
      </c>
      <c r="H19" s="2">
        <v>150141000</v>
      </c>
      <c r="I19" s="2">
        <v>85049000</v>
      </c>
      <c r="J19" s="2">
        <v>65092000</v>
      </c>
      <c r="K19" s="2">
        <v>871133000</v>
      </c>
      <c r="L19" s="2">
        <v>105734000</v>
      </c>
      <c r="M19" s="3">
        <v>334.86</v>
      </c>
      <c r="N19" s="4">
        <v>3167</v>
      </c>
      <c r="O19" s="2">
        <v>96592000</v>
      </c>
      <c r="P19" s="3">
        <v>303.76</v>
      </c>
      <c r="Q19" s="4">
        <v>3145</v>
      </c>
      <c r="R19" s="2">
        <f t="shared" si="2"/>
        <v>11896000</v>
      </c>
      <c r="S19">
        <f t="shared" si="3"/>
        <v>0.92658466893363867</v>
      </c>
      <c r="T19">
        <f t="shared" si="4"/>
        <v>7.3415331066361389E-2</v>
      </c>
    </row>
    <row r="20" spans="1:20" x14ac:dyDescent="0.25">
      <c r="A20" t="str">
        <f t="shared" si="0"/>
        <v>October</v>
      </c>
      <c r="B20" s="5">
        <f t="shared" si="1"/>
        <v>45226</v>
      </c>
      <c r="C20">
        <v>2023</v>
      </c>
      <c r="D20">
        <v>10</v>
      </c>
      <c r="E20">
        <v>27</v>
      </c>
      <c r="F20" s="2">
        <v>160494000</v>
      </c>
      <c r="G20" s="2">
        <v>161157000</v>
      </c>
      <c r="H20" s="2">
        <v>149504000</v>
      </c>
      <c r="I20" s="2">
        <v>84455000</v>
      </c>
      <c r="J20" s="2">
        <v>65049000</v>
      </c>
      <c r="K20" s="2">
        <v>788747000</v>
      </c>
      <c r="L20" s="2">
        <v>104658000</v>
      </c>
      <c r="M20" s="3">
        <v>319.66000000000003</v>
      </c>
      <c r="N20" s="4">
        <v>3054</v>
      </c>
      <c r="O20" s="2">
        <v>95895000</v>
      </c>
      <c r="P20" s="3">
        <v>296.20999999999998</v>
      </c>
      <c r="Q20" s="4">
        <v>3089</v>
      </c>
      <c r="R20" s="2">
        <f t="shared" si="2"/>
        <v>10990000</v>
      </c>
      <c r="S20">
        <f t="shared" si="3"/>
        <v>0.93152391989731709</v>
      </c>
      <c r="T20">
        <f t="shared" si="4"/>
        <v>6.8476080102682968E-2</v>
      </c>
    </row>
    <row r="21" spans="1:20" x14ac:dyDescent="0.25">
      <c r="A21" t="str">
        <f t="shared" si="0"/>
        <v>October</v>
      </c>
      <c r="B21" s="5">
        <f t="shared" si="1"/>
        <v>45219</v>
      </c>
      <c r="C21">
        <v>2023</v>
      </c>
      <c r="D21">
        <v>10</v>
      </c>
      <c r="E21">
        <v>20</v>
      </c>
      <c r="F21" s="2">
        <v>160071000</v>
      </c>
      <c r="G21" s="2">
        <v>160736000</v>
      </c>
      <c r="H21" s="2">
        <v>149340000</v>
      </c>
      <c r="I21" s="2">
        <v>84320000</v>
      </c>
      <c r="J21" s="2">
        <v>65021000</v>
      </c>
      <c r="K21" s="2">
        <v>779769000</v>
      </c>
      <c r="L21" s="2">
        <v>103791000</v>
      </c>
      <c r="M21" s="3">
        <v>308.99</v>
      </c>
      <c r="N21" s="4">
        <v>2977</v>
      </c>
      <c r="O21" s="2">
        <v>95326000</v>
      </c>
      <c r="P21" s="3">
        <v>288.85000000000002</v>
      </c>
      <c r="Q21" s="4">
        <v>3030</v>
      </c>
      <c r="R21" s="2">
        <f t="shared" si="2"/>
        <v>10731000</v>
      </c>
      <c r="S21">
        <f t="shared" si="3"/>
        <v>0.93296099855689041</v>
      </c>
      <c r="T21">
        <f t="shared" si="4"/>
        <v>6.7039001443109619E-2</v>
      </c>
    </row>
    <row r="22" spans="1:20" x14ac:dyDescent="0.25">
      <c r="A22" t="str">
        <f t="shared" si="0"/>
        <v>May</v>
      </c>
      <c r="B22" s="5">
        <f t="shared" si="1"/>
        <v>45058</v>
      </c>
      <c r="C22">
        <v>2023</v>
      </c>
      <c r="D22">
        <v>5</v>
      </c>
      <c r="E22">
        <v>12</v>
      </c>
      <c r="F22" s="2">
        <v>142577000</v>
      </c>
      <c r="G22" s="2">
        <v>140224000</v>
      </c>
      <c r="H22" s="2">
        <v>134911000</v>
      </c>
      <c r="I22" s="2">
        <v>72651000</v>
      </c>
      <c r="J22" s="2">
        <v>62260000</v>
      </c>
      <c r="K22" s="2">
        <v>536829000</v>
      </c>
      <c r="L22" s="2">
        <v>94884000</v>
      </c>
      <c r="M22" s="3">
        <v>266.85000000000002</v>
      </c>
      <c r="N22" s="4">
        <v>2812</v>
      </c>
      <c r="O22" s="2">
        <v>88435000</v>
      </c>
      <c r="P22" s="3">
        <v>253.89</v>
      </c>
      <c r="Q22" s="4">
        <v>2871</v>
      </c>
      <c r="R22" s="2">
        <f t="shared" si="2"/>
        <v>7666000</v>
      </c>
      <c r="S22">
        <f t="shared" si="3"/>
        <v>0.94623256205418826</v>
      </c>
      <c r="T22">
        <f t="shared" si="4"/>
        <v>5.3767437945811736E-2</v>
      </c>
    </row>
    <row r="23" spans="1:20" x14ac:dyDescent="0.25">
      <c r="A23" t="str">
        <f t="shared" si="0"/>
        <v>May</v>
      </c>
      <c r="B23" s="5">
        <f t="shared" si="1"/>
        <v>45051</v>
      </c>
      <c r="C23">
        <v>2023</v>
      </c>
      <c r="D23">
        <v>5</v>
      </c>
      <c r="E23">
        <v>5</v>
      </c>
      <c r="F23" s="2">
        <v>141137000</v>
      </c>
      <c r="G23" s="2">
        <v>138795000</v>
      </c>
      <c r="H23" s="2">
        <v>134147000</v>
      </c>
      <c r="I23" s="2">
        <v>72047000</v>
      </c>
      <c r="J23" s="2">
        <v>62100000</v>
      </c>
      <c r="K23" s="2">
        <v>523069000</v>
      </c>
      <c r="L23" s="2">
        <v>93790000</v>
      </c>
      <c r="M23" s="3">
        <v>262.89</v>
      </c>
      <c r="N23" s="4">
        <v>2803</v>
      </c>
      <c r="O23" s="2">
        <v>88380000</v>
      </c>
      <c r="P23" s="3">
        <v>253.73</v>
      </c>
      <c r="Q23" s="4">
        <v>2871</v>
      </c>
      <c r="R23" s="2">
        <f t="shared" si="2"/>
        <v>6990000</v>
      </c>
      <c r="S23">
        <f t="shared" si="3"/>
        <v>0.95047365325889033</v>
      </c>
      <c r="T23">
        <f t="shared" si="4"/>
        <v>4.95263467411097E-2</v>
      </c>
    </row>
    <row r="24" spans="1:20" x14ac:dyDescent="0.25">
      <c r="A24" t="str">
        <f t="shared" si="0"/>
        <v>April</v>
      </c>
      <c r="B24" s="5">
        <f t="shared" si="1"/>
        <v>45044</v>
      </c>
      <c r="C24">
        <v>2023</v>
      </c>
      <c r="D24">
        <v>4</v>
      </c>
      <c r="E24">
        <v>28</v>
      </c>
      <c r="F24" s="2">
        <v>139375000</v>
      </c>
      <c r="G24" s="2">
        <v>136909000</v>
      </c>
      <c r="H24" s="2">
        <v>133229000</v>
      </c>
      <c r="I24" s="2">
        <v>71347000</v>
      </c>
      <c r="J24" s="2">
        <v>61883000</v>
      </c>
      <c r="K24" s="2">
        <v>507207000</v>
      </c>
      <c r="L24" s="2">
        <v>91800000</v>
      </c>
      <c r="M24" s="3">
        <v>254.96</v>
      </c>
      <c r="N24" s="4">
        <v>2777</v>
      </c>
      <c r="O24" s="2">
        <v>86773000</v>
      </c>
      <c r="P24" s="3">
        <v>247.21</v>
      </c>
      <c r="Q24" s="4">
        <v>2849</v>
      </c>
      <c r="R24" s="2">
        <f t="shared" si="2"/>
        <v>6146000</v>
      </c>
      <c r="S24">
        <f t="shared" si="3"/>
        <v>0.95590313901345292</v>
      </c>
      <c r="T24">
        <f t="shared" si="4"/>
        <v>4.4096860986547082E-2</v>
      </c>
    </row>
    <row r="25" spans="1:20" x14ac:dyDescent="0.25">
      <c r="A25" t="str">
        <f t="shared" si="0"/>
        <v>April</v>
      </c>
      <c r="B25" s="5">
        <f t="shared" si="1"/>
        <v>45037</v>
      </c>
      <c r="C25">
        <v>2023</v>
      </c>
      <c r="D25">
        <v>4</v>
      </c>
      <c r="E25">
        <v>21</v>
      </c>
      <c r="F25" s="2">
        <v>137144000</v>
      </c>
      <c r="G25" s="2">
        <v>134649000</v>
      </c>
      <c r="H25" s="2">
        <v>132009000</v>
      </c>
      <c r="I25" s="2">
        <v>70492000</v>
      </c>
      <c r="J25" s="2">
        <v>61517000</v>
      </c>
      <c r="K25" s="2">
        <v>488119000</v>
      </c>
      <c r="L25" s="2">
        <v>85935000</v>
      </c>
      <c r="M25" s="3">
        <v>236.62</v>
      </c>
      <c r="N25" s="4">
        <v>2753</v>
      </c>
      <c r="O25" s="2">
        <v>81799000</v>
      </c>
      <c r="P25" s="3">
        <v>231.28</v>
      </c>
      <c r="Q25" s="4">
        <v>2827</v>
      </c>
      <c r="R25" s="2">
        <f t="shared" si="2"/>
        <v>5135000</v>
      </c>
      <c r="S25">
        <f t="shared" si="3"/>
        <v>0.9625576036866359</v>
      </c>
      <c r="T25">
        <f t="shared" si="4"/>
        <v>3.7442396313364053E-2</v>
      </c>
    </row>
    <row r="26" spans="1:20" x14ac:dyDescent="0.25">
      <c r="A26" t="str">
        <f t="shared" si="0"/>
        <v>April</v>
      </c>
      <c r="B26" s="5">
        <f t="shared" si="1"/>
        <v>45030</v>
      </c>
      <c r="C26">
        <v>2023</v>
      </c>
      <c r="D26">
        <v>4</v>
      </c>
      <c r="E26">
        <v>14</v>
      </c>
      <c r="F26" s="2">
        <v>117321000</v>
      </c>
      <c r="G26" s="2">
        <v>116175000</v>
      </c>
      <c r="H26" s="2">
        <v>113201000</v>
      </c>
      <c r="I26" s="2">
        <v>62174000</v>
      </c>
      <c r="J26" s="2">
        <v>51027000</v>
      </c>
      <c r="K26" s="2">
        <v>452290000</v>
      </c>
      <c r="L26" s="2">
        <v>75824000</v>
      </c>
      <c r="M26" s="3">
        <v>215.36</v>
      </c>
      <c r="N26" s="4">
        <v>2840</v>
      </c>
      <c r="O26" s="2">
        <v>73121000</v>
      </c>
      <c r="P26" s="3">
        <v>212.22</v>
      </c>
      <c r="Q26" s="4">
        <v>2902</v>
      </c>
      <c r="R26" s="2">
        <f t="shared" si="2"/>
        <v>4120000</v>
      </c>
      <c r="S26">
        <f t="shared" si="3"/>
        <v>0.9648826723263525</v>
      </c>
      <c r="T26">
        <f t="shared" si="4"/>
        <v>3.5117327673647517E-2</v>
      </c>
    </row>
    <row r="27" spans="1:20" x14ac:dyDescent="0.25">
      <c r="A27" t="str">
        <f t="shared" si="0"/>
        <v>April</v>
      </c>
      <c r="B27" s="5">
        <f t="shared" si="1"/>
        <v>45023</v>
      </c>
      <c r="C27">
        <v>2023</v>
      </c>
      <c r="D27">
        <v>4</v>
      </c>
      <c r="E27">
        <v>7</v>
      </c>
      <c r="F27" s="2">
        <v>101320000</v>
      </c>
      <c r="G27" s="2">
        <v>100367000</v>
      </c>
      <c r="H27" s="2">
        <v>97831000</v>
      </c>
      <c r="I27" s="2">
        <v>53165000</v>
      </c>
      <c r="J27" s="2">
        <v>44666000</v>
      </c>
      <c r="K27" s="2">
        <v>420715000</v>
      </c>
      <c r="L27" s="2">
        <v>69095000</v>
      </c>
      <c r="M27" s="3">
        <v>198.87</v>
      </c>
      <c r="N27" s="4">
        <v>2878</v>
      </c>
      <c r="O27" s="2">
        <v>66356000</v>
      </c>
      <c r="P27" s="3">
        <v>195.25</v>
      </c>
      <c r="Q27" s="4">
        <v>2942</v>
      </c>
      <c r="R27" s="2">
        <f t="shared" si="2"/>
        <v>3489000</v>
      </c>
      <c r="S27">
        <f t="shared" si="3"/>
        <v>0.96556454796683777</v>
      </c>
      <c r="T27">
        <f t="shared" si="4"/>
        <v>3.4435452033162256E-2</v>
      </c>
    </row>
    <row r="28" spans="1:20" x14ac:dyDescent="0.25">
      <c r="A28" t="str">
        <f t="shared" si="0"/>
        <v>March</v>
      </c>
      <c r="B28" s="5">
        <f t="shared" si="1"/>
        <v>45016</v>
      </c>
      <c r="C28">
        <v>2023</v>
      </c>
      <c r="D28">
        <v>3</v>
      </c>
      <c r="E28">
        <v>31</v>
      </c>
      <c r="F28" s="2">
        <v>90111000</v>
      </c>
      <c r="G28" s="2">
        <v>89656000</v>
      </c>
      <c r="H28" s="2">
        <v>87126000</v>
      </c>
      <c r="I28" s="2">
        <v>46517000</v>
      </c>
      <c r="J28" s="2">
        <v>40609000</v>
      </c>
      <c r="K28" s="2">
        <v>395430000</v>
      </c>
      <c r="L28" s="2">
        <v>62932000</v>
      </c>
      <c r="M28" s="3">
        <v>183.13</v>
      </c>
      <c r="N28" s="4">
        <v>2910</v>
      </c>
      <c r="O28" s="2">
        <v>60867000</v>
      </c>
      <c r="P28" s="3">
        <v>180.75</v>
      </c>
      <c r="Q28" s="4">
        <v>2970</v>
      </c>
      <c r="R28" s="2">
        <f t="shared" si="2"/>
        <v>2985000</v>
      </c>
      <c r="S28">
        <f t="shared" si="3"/>
        <v>0.96687418850084894</v>
      </c>
      <c r="T28">
        <f t="shared" si="4"/>
        <v>3.3125811499151045E-2</v>
      </c>
    </row>
    <row r="29" spans="1:20" x14ac:dyDescent="0.25">
      <c r="A29" t="str">
        <f t="shared" si="0"/>
        <v>March</v>
      </c>
      <c r="B29" s="5">
        <f t="shared" si="1"/>
        <v>45009</v>
      </c>
      <c r="C29">
        <v>2023</v>
      </c>
      <c r="D29">
        <v>3</v>
      </c>
      <c r="E29">
        <v>24</v>
      </c>
      <c r="F29" s="2">
        <v>80683000</v>
      </c>
      <c r="G29" s="2">
        <v>80369000</v>
      </c>
      <c r="H29" s="2">
        <v>78167000</v>
      </c>
      <c r="I29" s="2">
        <v>40671000</v>
      </c>
      <c r="J29" s="2">
        <v>37496000</v>
      </c>
      <c r="K29" s="2">
        <v>370706000</v>
      </c>
      <c r="L29" s="2">
        <v>59342000</v>
      </c>
      <c r="M29" s="3">
        <v>172.26</v>
      </c>
      <c r="N29" s="4">
        <v>2903</v>
      </c>
      <c r="O29" s="2">
        <v>55902000</v>
      </c>
      <c r="P29" s="3">
        <v>167.2</v>
      </c>
      <c r="Q29" s="4">
        <v>2991</v>
      </c>
      <c r="R29" s="2">
        <f t="shared" si="2"/>
        <v>2516000</v>
      </c>
      <c r="S29">
        <f t="shared" si="3"/>
        <v>0.9688162314242158</v>
      </c>
      <c r="T29">
        <f t="shared" si="4"/>
        <v>3.118376857578424E-2</v>
      </c>
    </row>
    <row r="30" spans="1:20" x14ac:dyDescent="0.25">
      <c r="A30" t="str">
        <f t="shared" si="0"/>
        <v>March</v>
      </c>
      <c r="B30" s="5">
        <f t="shared" si="1"/>
        <v>45002</v>
      </c>
      <c r="C30">
        <v>2023</v>
      </c>
      <c r="D30">
        <v>3</v>
      </c>
      <c r="E30">
        <v>17</v>
      </c>
      <c r="F30" s="2">
        <v>71861000</v>
      </c>
      <c r="G30" s="2">
        <v>71455000</v>
      </c>
      <c r="H30" s="2">
        <v>69774000</v>
      </c>
      <c r="I30" s="2">
        <v>35239000</v>
      </c>
      <c r="J30" s="2">
        <v>34535000</v>
      </c>
      <c r="K30" s="2">
        <v>345454000</v>
      </c>
      <c r="L30" s="2">
        <v>53912000</v>
      </c>
      <c r="M30" s="3">
        <v>158.1</v>
      </c>
      <c r="N30" s="4">
        <v>2933</v>
      </c>
      <c r="O30" s="2">
        <v>50940000</v>
      </c>
      <c r="P30" s="3">
        <v>153.80000000000001</v>
      </c>
      <c r="Q30" s="4">
        <v>3019</v>
      </c>
      <c r="R30" s="2">
        <f t="shared" si="2"/>
        <v>2087000</v>
      </c>
      <c r="S30">
        <f t="shared" si="3"/>
        <v>0.97095782134954978</v>
      </c>
      <c r="T30">
        <f t="shared" si="4"/>
        <v>2.9042178650450175E-2</v>
      </c>
    </row>
    <row r="31" spans="1:20" x14ac:dyDescent="0.25">
      <c r="A31" t="str">
        <f t="shared" si="0"/>
        <v>March</v>
      </c>
      <c r="B31" s="5">
        <f t="shared" si="1"/>
        <v>44995</v>
      </c>
      <c r="C31">
        <v>2023</v>
      </c>
      <c r="D31">
        <v>3</v>
      </c>
      <c r="E31">
        <v>10</v>
      </c>
      <c r="F31" s="2">
        <v>63442000</v>
      </c>
      <c r="G31" s="2">
        <v>63191000</v>
      </c>
      <c r="H31" s="2">
        <v>61713000</v>
      </c>
      <c r="I31" s="2">
        <v>30215000</v>
      </c>
      <c r="J31" s="2">
        <v>31498000</v>
      </c>
      <c r="K31" s="2">
        <v>318555000</v>
      </c>
      <c r="L31" s="2">
        <v>49174000</v>
      </c>
      <c r="M31" s="3">
        <v>146.16999999999999</v>
      </c>
      <c r="N31" s="4">
        <v>2972</v>
      </c>
      <c r="O31" s="2">
        <v>45757000</v>
      </c>
      <c r="P31" s="3">
        <v>140.65</v>
      </c>
      <c r="Q31" s="4">
        <v>3074</v>
      </c>
      <c r="R31" s="2">
        <f t="shared" si="2"/>
        <v>1729000</v>
      </c>
      <c r="S31">
        <f t="shared" si="3"/>
        <v>0.97274676082090727</v>
      </c>
      <c r="T31">
        <f t="shared" si="4"/>
        <v>2.7253239179092715E-2</v>
      </c>
    </row>
    <row r="32" spans="1:20" x14ac:dyDescent="0.25">
      <c r="A32" t="str">
        <f t="shared" si="0"/>
        <v>March</v>
      </c>
      <c r="B32" s="5">
        <f t="shared" si="1"/>
        <v>44988</v>
      </c>
      <c r="C32">
        <v>2023</v>
      </c>
      <c r="D32">
        <v>3</v>
      </c>
      <c r="E32">
        <v>3</v>
      </c>
      <c r="F32" s="2">
        <v>54948000</v>
      </c>
      <c r="G32" s="2">
        <v>54341000</v>
      </c>
      <c r="H32" s="2">
        <v>53598000</v>
      </c>
      <c r="I32" s="2">
        <v>25210000</v>
      </c>
      <c r="J32" s="2">
        <v>28387000</v>
      </c>
      <c r="K32" s="2">
        <v>289829000</v>
      </c>
      <c r="L32" s="2">
        <v>42040000</v>
      </c>
      <c r="M32" s="3">
        <v>127.31</v>
      </c>
      <c r="N32" s="4">
        <v>3028</v>
      </c>
      <c r="O32" s="2">
        <v>39907000</v>
      </c>
      <c r="P32" s="3">
        <v>124.31</v>
      </c>
      <c r="Q32" s="4">
        <v>3115</v>
      </c>
      <c r="R32" s="2">
        <f t="shared" si="2"/>
        <v>1350000</v>
      </c>
      <c r="S32">
        <f t="shared" si="3"/>
        <v>0.97543131688141516</v>
      </c>
      <c r="T32">
        <f t="shared" si="4"/>
        <v>2.4568683118584844E-2</v>
      </c>
    </row>
    <row r="33" spans="1:20" x14ac:dyDescent="0.25">
      <c r="A33" t="str">
        <f t="shared" si="0"/>
        <v>February</v>
      </c>
      <c r="B33" s="5">
        <f t="shared" si="1"/>
        <v>44981</v>
      </c>
      <c r="C33">
        <v>2023</v>
      </c>
      <c r="D33">
        <v>2</v>
      </c>
      <c r="E33">
        <v>24</v>
      </c>
      <c r="F33" s="2">
        <v>45983000</v>
      </c>
      <c r="G33" s="2">
        <v>45722000</v>
      </c>
      <c r="H33" s="2">
        <v>44962000</v>
      </c>
      <c r="I33" s="2">
        <v>20239000</v>
      </c>
      <c r="J33" s="2">
        <v>24723000</v>
      </c>
      <c r="K33" s="2">
        <v>256924000</v>
      </c>
      <c r="L33" s="2">
        <v>35142000</v>
      </c>
      <c r="M33" s="3">
        <v>108.2</v>
      </c>
      <c r="N33" s="4">
        <v>3079</v>
      </c>
      <c r="O33" s="2">
        <v>33377000</v>
      </c>
      <c r="P33" s="3">
        <v>105.81</v>
      </c>
      <c r="Q33" s="4">
        <v>3170</v>
      </c>
      <c r="R33" s="2">
        <f t="shared" si="2"/>
        <v>1021000</v>
      </c>
      <c r="S33">
        <f t="shared" si="3"/>
        <v>0.97779614205249765</v>
      </c>
      <c r="T33">
        <f t="shared" si="4"/>
        <v>2.2203857947502337E-2</v>
      </c>
    </row>
    <row r="34" spans="1:20" x14ac:dyDescent="0.25">
      <c r="A34" t="str">
        <f t="shared" si="0"/>
        <v>February</v>
      </c>
      <c r="B34" s="5">
        <f t="shared" si="1"/>
        <v>44974</v>
      </c>
      <c r="C34">
        <v>2023</v>
      </c>
      <c r="D34">
        <v>2</v>
      </c>
      <c r="E34">
        <v>17</v>
      </c>
      <c r="F34" s="2">
        <v>36859000</v>
      </c>
      <c r="G34" s="2">
        <v>36769000</v>
      </c>
      <c r="H34" s="2">
        <v>36079000</v>
      </c>
      <c r="I34" s="2">
        <v>15380000</v>
      </c>
      <c r="J34" s="2">
        <v>20698000</v>
      </c>
      <c r="K34" s="2">
        <v>212815000</v>
      </c>
      <c r="L34" s="2">
        <v>27781000</v>
      </c>
      <c r="M34" s="3">
        <v>87.25</v>
      </c>
      <c r="N34" s="4">
        <v>3140</v>
      </c>
      <c r="O34" s="2">
        <v>26321000</v>
      </c>
      <c r="P34" s="3">
        <v>85.3</v>
      </c>
      <c r="Q34" s="4">
        <v>3241</v>
      </c>
      <c r="R34" s="2">
        <f t="shared" si="2"/>
        <v>780000</v>
      </c>
      <c r="S34">
        <f t="shared" si="3"/>
        <v>0.97883827559076486</v>
      </c>
      <c r="T34">
        <f t="shared" si="4"/>
        <v>2.1161724409235194E-2</v>
      </c>
    </row>
    <row r="35" spans="1:20" x14ac:dyDescent="0.25">
      <c r="A35" t="str">
        <f t="shared" si="0"/>
        <v>February</v>
      </c>
      <c r="B35" s="5">
        <f t="shared" si="1"/>
        <v>44967</v>
      </c>
      <c r="C35">
        <v>2023</v>
      </c>
      <c r="D35">
        <v>2</v>
      </c>
      <c r="E35">
        <v>10</v>
      </c>
      <c r="F35" s="2">
        <v>28826000</v>
      </c>
      <c r="G35" s="2">
        <v>26622000</v>
      </c>
      <c r="H35" s="2">
        <v>27239000</v>
      </c>
      <c r="I35" s="2">
        <v>10664000</v>
      </c>
      <c r="J35" s="2">
        <v>16575000</v>
      </c>
      <c r="K35" s="2">
        <v>149706000</v>
      </c>
      <c r="L35" s="2">
        <v>13341000</v>
      </c>
      <c r="M35" s="3">
        <v>26.65</v>
      </c>
      <c r="N35" s="4">
        <v>1997</v>
      </c>
      <c r="O35" s="2">
        <v>12186000</v>
      </c>
      <c r="P35" s="3">
        <v>25.39</v>
      </c>
      <c r="Q35" s="4">
        <v>2084</v>
      </c>
      <c r="R35" s="2">
        <f t="shared" si="2"/>
        <v>1587000</v>
      </c>
      <c r="S35">
        <f t="shared" si="3"/>
        <v>0.9449455352806494</v>
      </c>
      <c r="T35">
        <f t="shared" si="4"/>
        <v>5.5054464719350583E-2</v>
      </c>
    </row>
    <row r="36" spans="1:20" x14ac:dyDescent="0.25">
      <c r="A36" t="str">
        <f t="shared" si="0"/>
        <v>February</v>
      </c>
      <c r="B36" s="5">
        <f t="shared" si="1"/>
        <v>44960</v>
      </c>
      <c r="C36">
        <v>2023</v>
      </c>
      <c r="D36">
        <v>2</v>
      </c>
      <c r="E36">
        <v>3</v>
      </c>
      <c r="F36" s="2">
        <v>18946000</v>
      </c>
      <c r="G36" s="2">
        <v>16767000</v>
      </c>
      <c r="H36" s="2">
        <v>17508000</v>
      </c>
      <c r="I36" s="2">
        <v>6066000</v>
      </c>
      <c r="J36" s="2">
        <v>11442000</v>
      </c>
      <c r="K36" s="2">
        <v>105829000</v>
      </c>
      <c r="L36" s="2">
        <v>7996000</v>
      </c>
      <c r="M36" s="3">
        <v>15.7</v>
      </c>
      <c r="N36" s="4">
        <v>1963</v>
      </c>
      <c r="O36" s="2">
        <v>6944000</v>
      </c>
      <c r="P36" s="3">
        <v>14.28</v>
      </c>
      <c r="Q36" s="4">
        <v>2056</v>
      </c>
      <c r="R36" s="2">
        <f t="shared" si="2"/>
        <v>1438000</v>
      </c>
      <c r="S36">
        <f t="shared" si="3"/>
        <v>0.92410007389422566</v>
      </c>
      <c r="T36">
        <f t="shared" si="4"/>
        <v>7.5899926105774312E-2</v>
      </c>
    </row>
    <row r="37" spans="1:20" x14ac:dyDescent="0.25">
      <c r="A37" t="str">
        <f t="shared" si="0"/>
        <v>December</v>
      </c>
      <c r="B37" s="5">
        <f t="shared" si="1"/>
        <v>44925</v>
      </c>
      <c r="C37">
        <v>2022</v>
      </c>
      <c r="D37">
        <v>12</v>
      </c>
      <c r="E37">
        <v>30</v>
      </c>
      <c r="F37" s="2">
        <v>165774000</v>
      </c>
      <c r="G37" s="2">
        <v>168855000</v>
      </c>
      <c r="H37" s="2">
        <v>152089000</v>
      </c>
      <c r="I37" s="2">
        <v>85140000</v>
      </c>
      <c r="J37" s="2">
        <v>66949000</v>
      </c>
      <c r="K37" s="2">
        <v>1026942000</v>
      </c>
      <c r="L37" s="2">
        <v>110567000</v>
      </c>
      <c r="M37" s="3">
        <v>359.52</v>
      </c>
      <c r="N37" s="4">
        <v>3252</v>
      </c>
      <c r="O37" s="2">
        <v>100758000</v>
      </c>
      <c r="P37" s="3">
        <v>331.84</v>
      </c>
      <c r="Q37" s="4">
        <v>3293</v>
      </c>
      <c r="R37" s="2">
        <f t="shared" si="2"/>
        <v>13685000</v>
      </c>
      <c r="S37">
        <f t="shared" si="3"/>
        <v>0.91744785068828649</v>
      </c>
      <c r="T37">
        <f t="shared" si="4"/>
        <v>8.2552149311713535E-2</v>
      </c>
    </row>
    <row r="38" spans="1:20" x14ac:dyDescent="0.25">
      <c r="A38" t="str">
        <f t="shared" si="0"/>
        <v>October</v>
      </c>
      <c r="B38" s="5">
        <f t="shared" si="1"/>
        <v>44862</v>
      </c>
      <c r="C38">
        <v>2022</v>
      </c>
      <c r="D38">
        <v>10</v>
      </c>
      <c r="E38">
        <v>28</v>
      </c>
      <c r="F38" s="2">
        <v>164246000</v>
      </c>
      <c r="G38" s="2">
        <v>164997000</v>
      </c>
      <c r="H38" s="2">
        <v>151448000</v>
      </c>
      <c r="I38" s="2">
        <v>84616000</v>
      </c>
      <c r="J38" s="2">
        <v>66832000</v>
      </c>
      <c r="K38" s="2">
        <v>942947000</v>
      </c>
      <c r="L38" s="2">
        <v>108622000</v>
      </c>
      <c r="M38" s="3">
        <v>344.95</v>
      </c>
      <c r="N38" s="4">
        <v>3176</v>
      </c>
      <c r="O38" s="2">
        <v>99636000</v>
      </c>
      <c r="P38" s="3">
        <v>324.16000000000003</v>
      </c>
      <c r="Q38" s="4">
        <v>3253</v>
      </c>
      <c r="R38" s="2">
        <f t="shared" si="2"/>
        <v>12798000</v>
      </c>
      <c r="S38">
        <f t="shared" si="3"/>
        <v>0.92208029419285709</v>
      </c>
      <c r="T38">
        <f t="shared" si="4"/>
        <v>7.7919705807142942E-2</v>
      </c>
    </row>
    <row r="39" spans="1:20" x14ac:dyDescent="0.25">
      <c r="A39" t="str">
        <f t="shared" si="0"/>
        <v>October</v>
      </c>
      <c r="B39" s="5">
        <f t="shared" si="1"/>
        <v>44855</v>
      </c>
      <c r="C39">
        <v>2022</v>
      </c>
      <c r="D39">
        <v>10</v>
      </c>
      <c r="E39">
        <v>21</v>
      </c>
      <c r="F39" s="2">
        <v>163762000</v>
      </c>
      <c r="G39" s="2">
        <v>163967000</v>
      </c>
      <c r="H39" s="2">
        <v>151264000</v>
      </c>
      <c r="I39" s="2">
        <v>84485000</v>
      </c>
      <c r="J39" s="2">
        <v>66780000</v>
      </c>
      <c r="K39" s="2">
        <v>932164000</v>
      </c>
      <c r="L39" s="2">
        <v>107880000</v>
      </c>
      <c r="M39" s="3">
        <v>337.6</v>
      </c>
      <c r="N39" s="4">
        <v>3129</v>
      </c>
      <c r="O39" s="2">
        <v>99182000</v>
      </c>
      <c r="P39" s="3">
        <v>319.5</v>
      </c>
      <c r="Q39" s="4">
        <v>3221</v>
      </c>
      <c r="R39" s="2">
        <f t="shared" si="2"/>
        <v>12498000</v>
      </c>
      <c r="S39">
        <f t="shared" si="3"/>
        <v>0.92368192865255672</v>
      </c>
      <c r="T39">
        <f t="shared" si="4"/>
        <v>7.6318071347443242E-2</v>
      </c>
    </row>
    <row r="40" spans="1:20" x14ac:dyDescent="0.25">
      <c r="A40" t="str">
        <f t="shared" si="0"/>
        <v>May</v>
      </c>
      <c r="B40" s="5">
        <f t="shared" si="1"/>
        <v>44701</v>
      </c>
      <c r="C40">
        <v>2022</v>
      </c>
      <c r="D40">
        <v>5</v>
      </c>
      <c r="E40">
        <v>20</v>
      </c>
      <c r="F40" s="2">
        <v>145372000</v>
      </c>
      <c r="G40" s="2">
        <v>140618000</v>
      </c>
      <c r="H40" s="2">
        <v>137177000</v>
      </c>
      <c r="I40" s="2">
        <v>73356000</v>
      </c>
      <c r="J40" s="2">
        <v>63820000</v>
      </c>
      <c r="K40" s="2">
        <v>679249000</v>
      </c>
      <c r="L40" s="2">
        <v>96274000</v>
      </c>
      <c r="M40" s="3">
        <v>292.54000000000002</v>
      </c>
      <c r="N40" s="4">
        <v>3039</v>
      </c>
      <c r="O40" s="2">
        <v>90527000</v>
      </c>
      <c r="P40" s="3">
        <v>282.52999999999997</v>
      </c>
      <c r="Q40" s="4">
        <v>3121</v>
      </c>
      <c r="R40" s="2">
        <f t="shared" si="2"/>
        <v>8195000</v>
      </c>
      <c r="S40">
        <f t="shared" si="3"/>
        <v>0.94362738354015907</v>
      </c>
      <c r="T40">
        <f t="shared" si="4"/>
        <v>5.6372616459840957E-2</v>
      </c>
    </row>
    <row r="41" spans="1:20" x14ac:dyDescent="0.25">
      <c r="A41" t="str">
        <f t="shared" si="0"/>
        <v>May</v>
      </c>
      <c r="B41" s="5">
        <f t="shared" si="1"/>
        <v>44694</v>
      </c>
      <c r="C41">
        <v>2022</v>
      </c>
      <c r="D41">
        <v>5</v>
      </c>
      <c r="E41">
        <v>13</v>
      </c>
      <c r="F41" s="2">
        <v>144341000</v>
      </c>
      <c r="G41" s="2">
        <v>139460000</v>
      </c>
      <c r="H41" s="2">
        <v>136430000</v>
      </c>
      <c r="I41" s="2">
        <v>72774000</v>
      </c>
      <c r="J41" s="2">
        <v>63656000</v>
      </c>
      <c r="K41" s="2">
        <v>664529000</v>
      </c>
      <c r="L41" s="2">
        <v>95539000</v>
      </c>
      <c r="M41" s="3">
        <v>289.73</v>
      </c>
      <c r="N41" s="4">
        <v>3033</v>
      </c>
      <c r="O41" s="2">
        <v>89867000</v>
      </c>
      <c r="P41" s="3">
        <v>279.97000000000003</v>
      </c>
      <c r="Q41" s="4">
        <v>3115</v>
      </c>
      <c r="R41" s="2">
        <f t="shared" si="2"/>
        <v>7911000</v>
      </c>
      <c r="S41">
        <f t="shared" si="3"/>
        <v>0.94519228770758135</v>
      </c>
      <c r="T41">
        <f t="shared" si="4"/>
        <v>5.4807712292418646E-2</v>
      </c>
    </row>
    <row r="42" spans="1:20" x14ac:dyDescent="0.25">
      <c r="A42" t="str">
        <f t="shared" si="0"/>
        <v>May</v>
      </c>
      <c r="B42" s="5">
        <f t="shared" si="1"/>
        <v>44687</v>
      </c>
      <c r="C42">
        <v>2022</v>
      </c>
      <c r="D42">
        <v>5</v>
      </c>
      <c r="E42">
        <v>6</v>
      </c>
      <c r="F42" s="2">
        <v>143164000</v>
      </c>
      <c r="G42" s="2">
        <v>138075000</v>
      </c>
      <c r="H42" s="2">
        <v>135611000</v>
      </c>
      <c r="I42" s="2">
        <v>72130000</v>
      </c>
      <c r="J42" s="2">
        <v>63481000</v>
      </c>
      <c r="K42" s="2">
        <v>648533000</v>
      </c>
      <c r="L42" s="2">
        <v>94399000</v>
      </c>
      <c r="M42" s="3">
        <v>285.55</v>
      </c>
      <c r="N42" s="4">
        <v>3025</v>
      </c>
      <c r="O42" s="2">
        <v>88861000</v>
      </c>
      <c r="P42" s="3">
        <v>276.2</v>
      </c>
      <c r="Q42" s="4">
        <v>3108</v>
      </c>
      <c r="R42" s="2">
        <f t="shared" si="2"/>
        <v>7553000</v>
      </c>
      <c r="S42">
        <f t="shared" si="3"/>
        <v>0.94724232348914528</v>
      </c>
      <c r="T42">
        <f t="shared" si="4"/>
        <v>5.2757676510854681E-2</v>
      </c>
    </row>
    <row r="43" spans="1:20" x14ac:dyDescent="0.25">
      <c r="A43" t="str">
        <f t="shared" si="0"/>
        <v>April</v>
      </c>
      <c r="B43" s="5">
        <f t="shared" si="1"/>
        <v>44680</v>
      </c>
      <c r="C43">
        <v>2022</v>
      </c>
      <c r="D43">
        <v>4</v>
      </c>
      <c r="E43">
        <v>29</v>
      </c>
      <c r="F43" s="2">
        <v>141272000</v>
      </c>
      <c r="G43" s="2">
        <v>136484000</v>
      </c>
      <c r="H43" s="2">
        <v>134646000</v>
      </c>
      <c r="I43" s="2">
        <v>71395000</v>
      </c>
      <c r="J43" s="2">
        <v>63251000</v>
      </c>
      <c r="K43" s="2">
        <v>630458000</v>
      </c>
      <c r="L43" s="2">
        <v>92523000</v>
      </c>
      <c r="M43" s="3">
        <v>279.27999999999997</v>
      </c>
      <c r="N43" s="4">
        <v>3019</v>
      </c>
      <c r="O43" s="2">
        <v>87233000</v>
      </c>
      <c r="P43" s="3">
        <v>270.62</v>
      </c>
      <c r="Q43" s="4">
        <v>3102</v>
      </c>
      <c r="R43" s="2">
        <f t="shared" si="2"/>
        <v>6626000</v>
      </c>
      <c r="S43">
        <f t="shared" si="3"/>
        <v>0.95309757064386436</v>
      </c>
      <c r="T43">
        <f t="shared" si="4"/>
        <v>4.6902429356135679E-2</v>
      </c>
    </row>
    <row r="44" spans="1:20" x14ac:dyDescent="0.25">
      <c r="A44" t="str">
        <f t="shared" si="0"/>
        <v>April</v>
      </c>
      <c r="B44" s="5">
        <f t="shared" si="1"/>
        <v>44673</v>
      </c>
      <c r="C44">
        <v>2022</v>
      </c>
      <c r="D44">
        <v>4</v>
      </c>
      <c r="E44">
        <v>22</v>
      </c>
      <c r="F44" s="2">
        <v>138942000</v>
      </c>
      <c r="G44" s="2">
        <v>133773000</v>
      </c>
      <c r="H44" s="2">
        <v>133410000</v>
      </c>
      <c r="I44" s="2">
        <v>70509000</v>
      </c>
      <c r="J44" s="2">
        <v>62900000</v>
      </c>
      <c r="K44" s="2">
        <v>609075000</v>
      </c>
      <c r="L44" s="2">
        <v>88667000</v>
      </c>
      <c r="M44" s="3">
        <v>267.02</v>
      </c>
      <c r="N44" s="4">
        <v>3012</v>
      </c>
      <c r="O44" s="2">
        <v>83891000</v>
      </c>
      <c r="P44" s="3">
        <v>259.97000000000003</v>
      </c>
      <c r="Q44" s="4">
        <v>3099</v>
      </c>
      <c r="R44" s="2">
        <f t="shared" si="2"/>
        <v>5532000</v>
      </c>
      <c r="S44">
        <f t="shared" si="3"/>
        <v>0.96018482532279659</v>
      </c>
      <c r="T44">
        <f t="shared" si="4"/>
        <v>3.9815174677203434E-2</v>
      </c>
    </row>
    <row r="45" spans="1:20" x14ac:dyDescent="0.25">
      <c r="A45" t="str">
        <f t="shared" si="0"/>
        <v>April</v>
      </c>
      <c r="B45" s="5">
        <f t="shared" si="1"/>
        <v>44666</v>
      </c>
      <c r="C45">
        <v>2022</v>
      </c>
      <c r="D45">
        <v>4</v>
      </c>
      <c r="E45">
        <v>15</v>
      </c>
      <c r="F45" s="2">
        <v>122543000</v>
      </c>
      <c r="G45" s="2">
        <v>118826000</v>
      </c>
      <c r="H45" s="2">
        <v>117859000</v>
      </c>
      <c r="I45" s="2">
        <v>63692000</v>
      </c>
      <c r="J45" s="2">
        <v>54167000</v>
      </c>
      <c r="K45" s="2">
        <v>571818000</v>
      </c>
      <c r="L45" s="2">
        <v>78201000</v>
      </c>
      <c r="M45" s="3">
        <v>242.63</v>
      </c>
      <c r="N45" s="4">
        <v>3103</v>
      </c>
      <c r="O45" s="2">
        <v>74769000</v>
      </c>
      <c r="P45" s="3">
        <v>237.82</v>
      </c>
      <c r="Q45" s="4">
        <v>3181</v>
      </c>
      <c r="R45" s="2">
        <f t="shared" si="2"/>
        <v>4684000</v>
      </c>
      <c r="S45">
        <f t="shared" si="3"/>
        <v>0.96177668247064296</v>
      </c>
      <c r="T45">
        <f t="shared" si="4"/>
        <v>3.8223317529357044E-2</v>
      </c>
    </row>
    <row r="46" spans="1:20" x14ac:dyDescent="0.25">
      <c r="A46" t="str">
        <f t="shared" si="0"/>
        <v>April</v>
      </c>
      <c r="B46" s="5">
        <f t="shared" si="1"/>
        <v>44659</v>
      </c>
      <c r="C46">
        <v>2022</v>
      </c>
      <c r="D46">
        <v>4</v>
      </c>
      <c r="E46">
        <v>8</v>
      </c>
      <c r="F46" s="2">
        <v>103315000</v>
      </c>
      <c r="G46" s="2">
        <v>99785000</v>
      </c>
      <c r="H46" s="2">
        <v>99290000</v>
      </c>
      <c r="I46" s="2">
        <v>53018000</v>
      </c>
      <c r="J46" s="2">
        <v>46272000</v>
      </c>
      <c r="K46" s="2">
        <v>531901000</v>
      </c>
      <c r="L46" s="2">
        <v>70040000</v>
      </c>
      <c r="M46" s="3">
        <v>222.34</v>
      </c>
      <c r="N46" s="4">
        <v>3175</v>
      </c>
      <c r="O46" s="2">
        <v>66632000</v>
      </c>
      <c r="P46" s="3">
        <v>216.98</v>
      </c>
      <c r="Q46" s="4">
        <v>3256</v>
      </c>
      <c r="R46" s="2">
        <f t="shared" si="2"/>
        <v>4025000</v>
      </c>
      <c r="S46">
        <f t="shared" si="3"/>
        <v>0.96104147510042104</v>
      </c>
      <c r="T46">
        <f t="shared" si="4"/>
        <v>3.8958524899578954E-2</v>
      </c>
    </row>
    <row r="47" spans="1:20" x14ac:dyDescent="0.25">
      <c r="A47" t="str">
        <f t="shared" si="0"/>
        <v>April</v>
      </c>
      <c r="B47" s="5">
        <f t="shared" si="1"/>
        <v>44652</v>
      </c>
      <c r="C47">
        <v>2022</v>
      </c>
      <c r="D47">
        <v>4</v>
      </c>
      <c r="E47">
        <v>1</v>
      </c>
      <c r="F47" s="2">
        <v>91260000</v>
      </c>
      <c r="G47" s="2">
        <v>89267000</v>
      </c>
      <c r="H47" s="2">
        <v>87869000</v>
      </c>
      <c r="I47" s="2">
        <v>45901000</v>
      </c>
      <c r="J47" s="2">
        <v>41968000</v>
      </c>
      <c r="K47" s="2">
        <v>478849000</v>
      </c>
      <c r="L47" s="2">
        <v>63357000</v>
      </c>
      <c r="M47" s="3">
        <v>204.41</v>
      </c>
      <c r="N47" s="4">
        <v>3226</v>
      </c>
      <c r="O47" s="2">
        <v>60606000</v>
      </c>
      <c r="P47" s="3">
        <v>200.24</v>
      </c>
      <c r="Q47" s="4">
        <v>3304</v>
      </c>
      <c r="R47" s="2">
        <f t="shared" si="2"/>
        <v>3391000</v>
      </c>
      <c r="S47">
        <f t="shared" si="3"/>
        <v>0.96284242822704358</v>
      </c>
      <c r="T47">
        <f t="shared" si="4"/>
        <v>3.7157571772956387E-2</v>
      </c>
    </row>
    <row r="48" spans="1:20" x14ac:dyDescent="0.25">
      <c r="A48" t="str">
        <f t="shared" si="0"/>
        <v>March</v>
      </c>
      <c r="B48" s="5">
        <f t="shared" si="1"/>
        <v>44645</v>
      </c>
      <c r="C48">
        <v>2022</v>
      </c>
      <c r="D48">
        <v>3</v>
      </c>
      <c r="E48">
        <v>25</v>
      </c>
      <c r="F48" s="2">
        <v>81371000</v>
      </c>
      <c r="G48" s="2">
        <v>78858000</v>
      </c>
      <c r="H48" s="2">
        <v>78426000</v>
      </c>
      <c r="I48" s="2">
        <v>39909000</v>
      </c>
      <c r="J48" s="2">
        <v>38517000</v>
      </c>
      <c r="K48" s="2">
        <v>468160000</v>
      </c>
      <c r="L48" s="2">
        <v>57830000</v>
      </c>
      <c r="M48" s="3">
        <v>188.69</v>
      </c>
      <c r="N48" s="4">
        <v>3263</v>
      </c>
      <c r="O48" s="2">
        <v>55561000</v>
      </c>
      <c r="P48" s="3">
        <v>185.43</v>
      </c>
      <c r="Q48" s="4">
        <v>3337</v>
      </c>
      <c r="R48" s="2">
        <f t="shared" si="2"/>
        <v>2945000</v>
      </c>
      <c r="S48">
        <f t="shared" si="3"/>
        <v>0.96380774477393671</v>
      </c>
      <c r="T48">
        <f t="shared" si="4"/>
        <v>3.6192255226063341E-2</v>
      </c>
    </row>
    <row r="49" spans="1:20" x14ac:dyDescent="0.25">
      <c r="A49" t="str">
        <f t="shared" si="0"/>
        <v>March</v>
      </c>
      <c r="B49" s="5">
        <f t="shared" si="1"/>
        <v>44638</v>
      </c>
      <c r="C49">
        <v>2022</v>
      </c>
      <c r="D49">
        <v>3</v>
      </c>
      <c r="E49">
        <v>18</v>
      </c>
      <c r="F49" s="2">
        <v>72223000</v>
      </c>
      <c r="G49" s="2">
        <v>70305000</v>
      </c>
      <c r="H49" s="2">
        <v>69852000</v>
      </c>
      <c r="I49" s="2">
        <v>34395000</v>
      </c>
      <c r="J49" s="2">
        <v>35457000</v>
      </c>
      <c r="K49" s="2">
        <v>435510000</v>
      </c>
      <c r="L49" s="2">
        <v>51775000</v>
      </c>
      <c r="M49" s="3">
        <v>171.14</v>
      </c>
      <c r="N49" s="4">
        <v>3305</v>
      </c>
      <c r="O49" s="2">
        <v>49960000</v>
      </c>
      <c r="P49" s="3">
        <v>168.56</v>
      </c>
      <c r="Q49" s="4">
        <v>3374</v>
      </c>
      <c r="R49" s="2">
        <f t="shared" si="2"/>
        <v>2371000</v>
      </c>
      <c r="S49">
        <f t="shared" si="3"/>
        <v>0.96717112277252404</v>
      </c>
      <c r="T49">
        <f t="shared" si="4"/>
        <v>3.282887722747601E-2</v>
      </c>
    </row>
    <row r="50" spans="1:20" x14ac:dyDescent="0.25">
      <c r="A50" t="str">
        <f t="shared" si="0"/>
        <v>March</v>
      </c>
      <c r="B50" s="5">
        <f t="shared" si="1"/>
        <v>44631</v>
      </c>
      <c r="C50">
        <v>2022</v>
      </c>
      <c r="D50">
        <v>3</v>
      </c>
      <c r="E50">
        <v>11</v>
      </c>
      <c r="F50" s="2">
        <v>63474000</v>
      </c>
      <c r="G50" s="2">
        <v>61962000</v>
      </c>
      <c r="H50" s="2">
        <v>61605000</v>
      </c>
      <c r="I50" s="2">
        <v>29303000</v>
      </c>
      <c r="J50" s="2">
        <v>32302000</v>
      </c>
      <c r="K50" s="2">
        <v>399448000</v>
      </c>
      <c r="L50" s="2">
        <v>45319000</v>
      </c>
      <c r="M50" s="3">
        <v>151.93</v>
      </c>
      <c r="N50" s="4">
        <v>3352</v>
      </c>
      <c r="O50" s="2">
        <v>43951000</v>
      </c>
      <c r="P50" s="3">
        <v>150.16999999999999</v>
      </c>
      <c r="Q50" s="4">
        <v>3417</v>
      </c>
      <c r="R50" s="2">
        <f t="shared" si="2"/>
        <v>1869000</v>
      </c>
      <c r="S50">
        <f t="shared" si="3"/>
        <v>0.97055487286132902</v>
      </c>
      <c r="T50">
        <f t="shared" si="4"/>
        <v>2.9445127138670951E-2</v>
      </c>
    </row>
    <row r="51" spans="1:20" x14ac:dyDescent="0.25">
      <c r="A51" t="str">
        <f t="shared" si="0"/>
        <v>March</v>
      </c>
      <c r="B51" s="5">
        <f t="shared" si="1"/>
        <v>44624</v>
      </c>
      <c r="C51">
        <v>2022</v>
      </c>
      <c r="D51">
        <v>3</v>
      </c>
      <c r="E51">
        <v>4</v>
      </c>
      <c r="F51" s="2">
        <v>54741000</v>
      </c>
      <c r="G51" s="2">
        <v>53053000</v>
      </c>
      <c r="H51" s="2">
        <v>53216000</v>
      </c>
      <c r="I51" s="2">
        <v>24201000</v>
      </c>
      <c r="J51" s="2">
        <v>29015000</v>
      </c>
      <c r="K51" s="2">
        <v>357372000</v>
      </c>
      <c r="L51" s="2">
        <v>37999000</v>
      </c>
      <c r="M51" s="3">
        <v>129.22999999999999</v>
      </c>
      <c r="N51" s="4">
        <v>3401</v>
      </c>
      <c r="O51" s="2">
        <v>37049000</v>
      </c>
      <c r="P51" s="3">
        <v>128.25</v>
      </c>
      <c r="Q51" s="4">
        <v>3462</v>
      </c>
      <c r="R51" s="2">
        <f t="shared" si="2"/>
        <v>1525000</v>
      </c>
      <c r="S51">
        <f t="shared" si="3"/>
        <v>0.97214153924846092</v>
      </c>
      <c r="T51">
        <f t="shared" si="4"/>
        <v>2.7858460751539065E-2</v>
      </c>
    </row>
    <row r="52" spans="1:20" x14ac:dyDescent="0.25">
      <c r="A52" t="str">
        <f t="shared" si="0"/>
        <v>February</v>
      </c>
      <c r="B52" s="5">
        <f t="shared" si="1"/>
        <v>44617</v>
      </c>
      <c r="C52">
        <v>2022</v>
      </c>
      <c r="D52">
        <v>2</v>
      </c>
      <c r="E52">
        <v>25</v>
      </c>
      <c r="F52" s="2">
        <v>45413000</v>
      </c>
      <c r="G52" s="2">
        <v>43818000</v>
      </c>
      <c r="H52" s="2">
        <v>44293000</v>
      </c>
      <c r="I52" s="2">
        <v>19082000</v>
      </c>
      <c r="J52" s="2">
        <v>25211000</v>
      </c>
      <c r="K52" s="2">
        <v>307581000</v>
      </c>
      <c r="L52" s="2">
        <v>29723000</v>
      </c>
      <c r="M52" s="3">
        <v>103.22</v>
      </c>
      <c r="N52" s="4">
        <v>3473</v>
      </c>
      <c r="O52" s="2">
        <v>29190000</v>
      </c>
      <c r="P52" s="3">
        <v>103.02</v>
      </c>
      <c r="Q52" s="4">
        <v>3529</v>
      </c>
      <c r="R52" s="2">
        <f t="shared" si="2"/>
        <v>1120000</v>
      </c>
      <c r="S52">
        <f t="shared" si="3"/>
        <v>0.97533745843701147</v>
      </c>
      <c r="T52">
        <f t="shared" si="4"/>
        <v>2.4662541562988572E-2</v>
      </c>
    </row>
    <row r="53" spans="1:20" x14ac:dyDescent="0.25">
      <c r="A53" t="str">
        <f t="shared" si="0"/>
        <v>February</v>
      </c>
      <c r="B53" s="5">
        <f t="shared" si="1"/>
        <v>44610</v>
      </c>
      <c r="C53">
        <v>2022</v>
      </c>
      <c r="D53">
        <v>2</v>
      </c>
      <c r="E53">
        <v>18</v>
      </c>
      <c r="F53" s="2">
        <v>35922000</v>
      </c>
      <c r="G53" s="2">
        <v>33464000</v>
      </c>
      <c r="H53" s="2">
        <v>34940000</v>
      </c>
      <c r="I53" s="2">
        <v>14213000</v>
      </c>
      <c r="J53" s="2">
        <v>20726000</v>
      </c>
      <c r="K53" s="2">
        <v>248303000</v>
      </c>
      <c r="L53" s="2">
        <v>22065000</v>
      </c>
      <c r="M53" s="3">
        <v>78.02</v>
      </c>
      <c r="N53" s="4">
        <v>3536</v>
      </c>
      <c r="O53" s="2">
        <v>21804000</v>
      </c>
      <c r="P53" s="3">
        <v>78.27</v>
      </c>
      <c r="Q53" s="4">
        <v>3590</v>
      </c>
      <c r="R53" s="2">
        <f t="shared" si="2"/>
        <v>982000</v>
      </c>
      <c r="S53">
        <f t="shared" si="3"/>
        <v>0.9726629920383052</v>
      </c>
      <c r="T53">
        <f t="shared" si="4"/>
        <v>2.7337007961694783E-2</v>
      </c>
    </row>
    <row r="54" spans="1:20" x14ac:dyDescent="0.25">
      <c r="A54" t="str">
        <f t="shared" si="0"/>
        <v>February</v>
      </c>
      <c r="B54" s="5">
        <f t="shared" si="1"/>
        <v>44603</v>
      </c>
      <c r="C54">
        <v>2022</v>
      </c>
      <c r="D54">
        <v>2</v>
      </c>
      <c r="E54">
        <v>11</v>
      </c>
      <c r="F54" s="2">
        <v>26421000</v>
      </c>
      <c r="G54" s="2">
        <v>23438000</v>
      </c>
      <c r="H54" s="2">
        <v>25627000</v>
      </c>
      <c r="I54" s="2">
        <v>9598000</v>
      </c>
      <c r="J54" s="2">
        <v>16029000</v>
      </c>
      <c r="K54" s="2">
        <v>172827000</v>
      </c>
      <c r="L54" s="2">
        <v>8992000</v>
      </c>
      <c r="M54" s="3">
        <v>20.89</v>
      </c>
      <c r="N54" s="4">
        <v>2323</v>
      </c>
      <c r="O54" s="2">
        <v>9037000</v>
      </c>
      <c r="P54" s="3">
        <v>21.69</v>
      </c>
      <c r="Q54" s="4">
        <v>2400</v>
      </c>
      <c r="R54" s="2">
        <f t="shared" si="2"/>
        <v>794000</v>
      </c>
      <c r="S54">
        <f t="shared" si="3"/>
        <v>0.96994814730706636</v>
      </c>
      <c r="T54">
        <f t="shared" si="4"/>
        <v>3.0051852692933652E-2</v>
      </c>
    </row>
    <row r="55" spans="1:20" x14ac:dyDescent="0.25">
      <c r="A55" t="str">
        <f t="shared" si="0"/>
        <v>February</v>
      </c>
      <c r="B55" s="5">
        <f t="shared" si="1"/>
        <v>44596</v>
      </c>
      <c r="C55">
        <v>2022</v>
      </c>
      <c r="D55">
        <v>2</v>
      </c>
      <c r="E55">
        <v>4</v>
      </c>
      <c r="F55" s="2">
        <v>16685000</v>
      </c>
      <c r="G55" s="2">
        <v>12992000</v>
      </c>
      <c r="H55" s="2">
        <v>15990000</v>
      </c>
      <c r="I55" s="2">
        <v>5243000</v>
      </c>
      <c r="J55" s="2">
        <v>10747000</v>
      </c>
      <c r="K55" s="2">
        <v>120234000</v>
      </c>
      <c r="L55" s="2">
        <v>4330000</v>
      </c>
      <c r="M55" s="3">
        <v>9.5299999999999994</v>
      </c>
      <c r="N55" s="4">
        <v>2201</v>
      </c>
      <c r="O55" s="2">
        <v>4464000</v>
      </c>
      <c r="P55" s="3">
        <v>10.29</v>
      </c>
      <c r="Q55" s="4">
        <v>2306</v>
      </c>
      <c r="R55" s="2">
        <f t="shared" si="2"/>
        <v>695000</v>
      </c>
      <c r="S55">
        <f t="shared" si="3"/>
        <v>0.95834581959844167</v>
      </c>
      <c r="T55">
        <f t="shared" si="4"/>
        <v>4.1654180401558286E-2</v>
      </c>
    </row>
    <row r="56" spans="1:20" x14ac:dyDescent="0.25">
      <c r="A56" t="str">
        <f t="shared" si="0"/>
        <v>December</v>
      </c>
      <c r="B56" s="5">
        <f t="shared" si="1"/>
        <v>44533</v>
      </c>
      <c r="C56">
        <v>2021</v>
      </c>
      <c r="D56">
        <v>12</v>
      </c>
      <c r="E56">
        <v>3</v>
      </c>
      <c r="F56" s="2">
        <v>169098000</v>
      </c>
      <c r="G56" s="2">
        <v>168453000</v>
      </c>
      <c r="H56" s="2">
        <v>152300000</v>
      </c>
      <c r="I56" s="2">
        <v>84924000</v>
      </c>
      <c r="J56" s="2">
        <v>67376000</v>
      </c>
      <c r="K56" s="2">
        <v>1947346000</v>
      </c>
      <c r="L56" s="2">
        <v>129841000</v>
      </c>
      <c r="M56" s="3">
        <v>365.5</v>
      </c>
      <c r="N56" s="4">
        <v>2815</v>
      </c>
      <c r="O56" s="2">
        <v>113283000</v>
      </c>
      <c r="P56" s="3">
        <v>326.18</v>
      </c>
      <c r="Q56" s="4">
        <v>2879</v>
      </c>
      <c r="R56" s="2">
        <f t="shared" si="2"/>
        <v>16798000</v>
      </c>
      <c r="S56">
        <f t="shared" si="3"/>
        <v>0.90066115506984112</v>
      </c>
      <c r="T56">
        <f t="shared" si="4"/>
        <v>9.9338844930158848E-2</v>
      </c>
    </row>
    <row r="57" spans="1:20" x14ac:dyDescent="0.25">
      <c r="A57" t="str">
        <f t="shared" si="0"/>
        <v>October</v>
      </c>
      <c r="B57" s="5">
        <f t="shared" si="1"/>
        <v>44498</v>
      </c>
      <c r="C57">
        <v>2021</v>
      </c>
      <c r="D57">
        <v>10</v>
      </c>
      <c r="E57">
        <v>29</v>
      </c>
      <c r="F57" s="2">
        <v>168026000</v>
      </c>
      <c r="G57" s="2">
        <v>166898000</v>
      </c>
      <c r="H57" s="2">
        <v>151824000</v>
      </c>
      <c r="I57" s="2">
        <v>84525000</v>
      </c>
      <c r="J57" s="2">
        <v>67299000</v>
      </c>
      <c r="K57" s="2">
        <v>1885126000</v>
      </c>
      <c r="L57" s="2">
        <v>128572000</v>
      </c>
      <c r="M57" s="3">
        <v>358.88</v>
      </c>
      <c r="N57" s="4">
        <v>2791</v>
      </c>
      <c r="O57" s="2">
        <v>112591000</v>
      </c>
      <c r="P57" s="3">
        <v>322.38</v>
      </c>
      <c r="Q57" s="4">
        <v>2863</v>
      </c>
      <c r="R57" s="2">
        <f t="shared" si="2"/>
        <v>16202000</v>
      </c>
      <c r="S57">
        <f t="shared" si="3"/>
        <v>0.90357444681180299</v>
      </c>
      <c r="T57">
        <f t="shared" si="4"/>
        <v>9.6425553188197066E-2</v>
      </c>
    </row>
    <row r="58" spans="1:20" x14ac:dyDescent="0.25">
      <c r="A58" t="str">
        <f t="shared" si="0"/>
        <v>October</v>
      </c>
      <c r="B58" s="5">
        <f t="shared" si="1"/>
        <v>44491</v>
      </c>
      <c r="C58">
        <v>2021</v>
      </c>
      <c r="D58">
        <v>10</v>
      </c>
      <c r="E58">
        <v>22</v>
      </c>
      <c r="F58" s="2">
        <v>167634000</v>
      </c>
      <c r="G58" s="2">
        <v>166342000</v>
      </c>
      <c r="H58" s="2">
        <v>151681000</v>
      </c>
      <c r="I58" s="2">
        <v>84422000</v>
      </c>
      <c r="J58" s="2">
        <v>67259000</v>
      </c>
      <c r="K58" s="2">
        <v>1871475000</v>
      </c>
      <c r="L58" s="2">
        <v>128064000</v>
      </c>
      <c r="M58" s="3">
        <v>355.37</v>
      </c>
      <c r="N58" s="4">
        <v>2775</v>
      </c>
      <c r="O58" s="2">
        <v>112267000</v>
      </c>
      <c r="P58" s="3">
        <v>320.11</v>
      </c>
      <c r="Q58" s="4">
        <v>2851</v>
      </c>
      <c r="R58" s="2">
        <f t="shared" si="2"/>
        <v>15953000</v>
      </c>
      <c r="S58">
        <f t="shared" si="3"/>
        <v>0.90483434148203823</v>
      </c>
      <c r="T58">
        <f t="shared" si="4"/>
        <v>9.5165658517961743E-2</v>
      </c>
    </row>
    <row r="59" spans="1:20" x14ac:dyDescent="0.25">
      <c r="A59" t="str">
        <f t="shared" si="0"/>
        <v>June</v>
      </c>
      <c r="B59" s="5">
        <f t="shared" si="1"/>
        <v>44358</v>
      </c>
      <c r="C59">
        <v>2021</v>
      </c>
      <c r="D59">
        <v>6</v>
      </c>
      <c r="E59">
        <v>11</v>
      </c>
      <c r="F59" s="2">
        <v>152465000</v>
      </c>
      <c r="G59" s="2">
        <v>141032000</v>
      </c>
      <c r="H59" s="2">
        <v>140860000</v>
      </c>
      <c r="I59" s="2">
        <v>75876000</v>
      </c>
      <c r="J59" s="2">
        <v>64984000</v>
      </c>
      <c r="K59" s="2">
        <v>1452971000</v>
      </c>
      <c r="L59" s="2">
        <v>104304000</v>
      </c>
      <c r="M59" s="3">
        <v>289.48</v>
      </c>
      <c r="N59" s="4">
        <v>2775</v>
      </c>
      <c r="O59" s="2">
        <v>93882000</v>
      </c>
      <c r="P59" s="3">
        <v>267.52999999999997</v>
      </c>
      <c r="Q59" s="4">
        <v>2850</v>
      </c>
      <c r="R59" s="2">
        <f t="shared" si="2"/>
        <v>11605000</v>
      </c>
      <c r="S59">
        <f t="shared" si="3"/>
        <v>0.92388417013740853</v>
      </c>
      <c r="T59">
        <f t="shared" si="4"/>
        <v>7.6115829862591411E-2</v>
      </c>
    </row>
    <row r="60" spans="1:20" x14ac:dyDescent="0.25">
      <c r="A60" t="str">
        <f t="shared" si="0"/>
        <v>June</v>
      </c>
      <c r="B60" s="5">
        <f t="shared" si="1"/>
        <v>44351</v>
      </c>
      <c r="C60">
        <v>2021</v>
      </c>
      <c r="D60">
        <v>6</v>
      </c>
      <c r="E60">
        <v>4</v>
      </c>
      <c r="F60" s="2">
        <v>150938000</v>
      </c>
      <c r="G60" s="2">
        <v>138979000</v>
      </c>
      <c r="H60" s="2">
        <v>140074000</v>
      </c>
      <c r="I60" s="2">
        <v>75276000</v>
      </c>
      <c r="J60" s="2">
        <v>64798000</v>
      </c>
      <c r="K60" s="2">
        <v>1425885000</v>
      </c>
      <c r="L60" s="2">
        <v>102380000</v>
      </c>
      <c r="M60" s="3">
        <v>284.99</v>
      </c>
      <c r="N60" s="4">
        <v>2784</v>
      </c>
      <c r="O60" s="2">
        <v>92626000</v>
      </c>
      <c r="P60" s="3">
        <v>264.58999999999997</v>
      </c>
      <c r="Q60" s="4">
        <v>2857</v>
      </c>
      <c r="R60" s="2">
        <f t="shared" si="2"/>
        <v>10864000</v>
      </c>
      <c r="S60">
        <f t="shared" si="3"/>
        <v>0.92802342683750949</v>
      </c>
      <c r="T60">
        <f t="shared" si="4"/>
        <v>7.1976573162490565E-2</v>
      </c>
    </row>
    <row r="61" spans="1:20" x14ac:dyDescent="0.25">
      <c r="A61" t="str">
        <f t="shared" si="0"/>
        <v>May</v>
      </c>
      <c r="B61" s="5">
        <f t="shared" si="1"/>
        <v>44344</v>
      </c>
      <c r="C61">
        <v>2021</v>
      </c>
      <c r="D61">
        <v>5</v>
      </c>
      <c r="E61">
        <v>28</v>
      </c>
      <c r="F61" s="2">
        <v>149650000</v>
      </c>
      <c r="G61" s="2">
        <v>137609000</v>
      </c>
      <c r="H61" s="2">
        <v>139417000</v>
      </c>
      <c r="I61" s="2">
        <v>74800000</v>
      </c>
      <c r="J61" s="2">
        <v>64617000</v>
      </c>
      <c r="K61" s="2">
        <v>1401265000</v>
      </c>
      <c r="L61" s="2">
        <v>101243000</v>
      </c>
      <c r="M61" s="3">
        <v>281.39999999999998</v>
      </c>
      <c r="N61" s="4">
        <v>2779</v>
      </c>
      <c r="O61" s="2">
        <v>91749000</v>
      </c>
      <c r="P61" s="3">
        <v>261.60000000000002</v>
      </c>
      <c r="Q61" s="4">
        <v>2851</v>
      </c>
      <c r="R61" s="2">
        <f t="shared" si="2"/>
        <v>10233000</v>
      </c>
      <c r="S61">
        <f t="shared" si="3"/>
        <v>0.93162044771132646</v>
      </c>
      <c r="T61">
        <f t="shared" si="4"/>
        <v>6.8379552288673567E-2</v>
      </c>
    </row>
    <row r="62" spans="1:20" x14ac:dyDescent="0.25">
      <c r="A62" t="str">
        <f t="shared" si="0"/>
        <v>May</v>
      </c>
      <c r="B62" s="5">
        <f t="shared" si="1"/>
        <v>44337</v>
      </c>
      <c r="C62">
        <v>2021</v>
      </c>
      <c r="D62">
        <v>5</v>
      </c>
      <c r="E62">
        <v>21</v>
      </c>
      <c r="F62" s="2">
        <v>148012000</v>
      </c>
      <c r="G62" s="2">
        <v>135773000</v>
      </c>
      <c r="H62" s="2">
        <v>138563000</v>
      </c>
      <c r="I62" s="2">
        <v>74195000</v>
      </c>
      <c r="J62" s="2">
        <v>64368000</v>
      </c>
      <c r="K62" s="2">
        <v>1372697000</v>
      </c>
      <c r="L62" s="2">
        <v>95632000</v>
      </c>
      <c r="M62" s="3">
        <v>270.35000000000002</v>
      </c>
      <c r="N62" s="4">
        <v>2827</v>
      </c>
      <c r="O62" s="2">
        <v>87045000</v>
      </c>
      <c r="P62" s="3">
        <v>252.37</v>
      </c>
      <c r="Q62" s="4">
        <v>2899</v>
      </c>
      <c r="R62" s="2">
        <f t="shared" si="2"/>
        <v>9449000</v>
      </c>
      <c r="S62">
        <f t="shared" si="3"/>
        <v>0.93616058157446691</v>
      </c>
      <c r="T62">
        <f t="shared" si="4"/>
        <v>6.3839418425533062E-2</v>
      </c>
    </row>
    <row r="63" spans="1:20" x14ac:dyDescent="0.25">
      <c r="A63" t="str">
        <f t="shared" si="0"/>
        <v>May</v>
      </c>
      <c r="B63" s="5">
        <f t="shared" si="1"/>
        <v>44330</v>
      </c>
      <c r="C63">
        <v>2021</v>
      </c>
      <c r="D63">
        <v>5</v>
      </c>
      <c r="E63">
        <v>14</v>
      </c>
      <c r="F63" s="2">
        <v>136309000</v>
      </c>
      <c r="G63" s="2">
        <v>124599000</v>
      </c>
      <c r="H63" s="2">
        <v>127658000</v>
      </c>
      <c r="I63" s="2">
        <v>69718000</v>
      </c>
      <c r="J63" s="2">
        <v>57940000</v>
      </c>
      <c r="K63" s="2">
        <v>1333514000</v>
      </c>
      <c r="L63" s="2">
        <v>88890000</v>
      </c>
      <c r="M63" s="3">
        <v>253.83</v>
      </c>
      <c r="N63" s="4">
        <v>2856</v>
      </c>
      <c r="O63" s="2">
        <v>81249000</v>
      </c>
      <c r="P63" s="3">
        <v>237.72</v>
      </c>
      <c r="Q63" s="4">
        <v>2926</v>
      </c>
      <c r="R63" s="2">
        <f t="shared" si="2"/>
        <v>8651000</v>
      </c>
      <c r="S63">
        <f t="shared" si="3"/>
        <v>0.93653390458443686</v>
      </c>
      <c r="T63">
        <f t="shared" si="4"/>
        <v>6.3466095415563167E-2</v>
      </c>
    </row>
    <row r="64" spans="1:20" x14ac:dyDescent="0.25">
      <c r="A64" t="str">
        <f t="shared" si="0"/>
        <v>May</v>
      </c>
      <c r="B64" s="5">
        <f t="shared" si="1"/>
        <v>44323</v>
      </c>
      <c r="C64">
        <v>2021</v>
      </c>
      <c r="D64">
        <v>5</v>
      </c>
      <c r="E64">
        <v>7</v>
      </c>
      <c r="F64" s="2">
        <v>126777000</v>
      </c>
      <c r="G64" s="2">
        <v>115989000</v>
      </c>
      <c r="H64" s="2">
        <v>118664000</v>
      </c>
      <c r="I64" s="2">
        <v>64425000</v>
      </c>
      <c r="J64" s="2">
        <v>54239000</v>
      </c>
      <c r="K64" s="2">
        <v>1293942000</v>
      </c>
      <c r="L64" s="2">
        <v>84840000</v>
      </c>
      <c r="M64" s="3">
        <v>242.9</v>
      </c>
      <c r="N64" s="4">
        <v>2863</v>
      </c>
      <c r="O64" s="2">
        <v>77979000</v>
      </c>
      <c r="P64" s="3">
        <v>228.13</v>
      </c>
      <c r="Q64" s="4">
        <v>2932</v>
      </c>
      <c r="R64" s="2">
        <f t="shared" si="2"/>
        <v>8113000</v>
      </c>
      <c r="S64">
        <f t="shared" si="3"/>
        <v>0.93600574236651757</v>
      </c>
      <c r="T64">
        <f t="shared" si="4"/>
        <v>6.3994257633482418E-2</v>
      </c>
    </row>
    <row r="65" spans="1:20" x14ac:dyDescent="0.25">
      <c r="A65" t="str">
        <f t="shared" si="0"/>
        <v>April</v>
      </c>
      <c r="B65" s="5">
        <f t="shared" si="1"/>
        <v>44316</v>
      </c>
      <c r="C65">
        <v>2021</v>
      </c>
      <c r="D65">
        <v>4</v>
      </c>
      <c r="E65">
        <v>30</v>
      </c>
      <c r="F65" s="2">
        <v>121168000</v>
      </c>
      <c r="G65" s="2">
        <v>110257000</v>
      </c>
      <c r="H65" s="2">
        <v>113617000</v>
      </c>
      <c r="I65" s="2">
        <v>61282000</v>
      </c>
      <c r="J65" s="2">
        <v>52335000</v>
      </c>
      <c r="K65" s="2">
        <v>1256364000</v>
      </c>
      <c r="L65" s="2">
        <v>81485000</v>
      </c>
      <c r="M65" s="3">
        <v>233.49</v>
      </c>
      <c r="N65" s="4">
        <v>2865</v>
      </c>
      <c r="O65" s="2">
        <v>74965000</v>
      </c>
      <c r="P65" s="3">
        <v>219.96</v>
      </c>
      <c r="Q65" s="4">
        <v>2934</v>
      </c>
      <c r="R65" s="2">
        <f t="shared" si="2"/>
        <v>7551000</v>
      </c>
      <c r="S65">
        <f t="shared" si="3"/>
        <v>0.93768156609005682</v>
      </c>
      <c r="T65">
        <f t="shared" si="4"/>
        <v>6.2318433909943217E-2</v>
      </c>
    </row>
    <row r="66" spans="1:20" x14ac:dyDescent="0.25">
      <c r="A66" t="str">
        <f t="shared" si="0"/>
        <v>April</v>
      </c>
      <c r="B66" s="5">
        <f t="shared" si="1"/>
        <v>44309</v>
      </c>
      <c r="C66">
        <v>2021</v>
      </c>
      <c r="D66">
        <v>4</v>
      </c>
      <c r="E66">
        <v>23</v>
      </c>
      <c r="F66" s="2">
        <v>116139000</v>
      </c>
      <c r="G66" s="2">
        <v>105330000</v>
      </c>
      <c r="H66" s="2">
        <v>109381000</v>
      </c>
      <c r="I66" s="2">
        <v>58506000</v>
      </c>
      <c r="J66" s="2">
        <v>50875000</v>
      </c>
      <c r="K66" s="2">
        <v>1217624000</v>
      </c>
      <c r="L66" s="2">
        <v>77652000</v>
      </c>
      <c r="M66" s="3">
        <v>222.87</v>
      </c>
      <c r="N66" s="4">
        <v>2870</v>
      </c>
      <c r="O66" s="2">
        <v>71741000</v>
      </c>
      <c r="P66" s="3">
        <v>210.67</v>
      </c>
      <c r="Q66" s="4">
        <v>2936</v>
      </c>
      <c r="R66" s="2">
        <f t="shared" si="2"/>
        <v>6758000</v>
      </c>
      <c r="S66">
        <f t="shared" si="3"/>
        <v>0.94181110565787551</v>
      </c>
      <c r="T66">
        <f t="shared" si="4"/>
        <v>5.8188894342124521E-2</v>
      </c>
    </row>
    <row r="67" spans="1:20" x14ac:dyDescent="0.25">
      <c r="A67" t="str">
        <f t="shared" si="0"/>
        <v>April</v>
      </c>
      <c r="B67" s="5">
        <f t="shared" si="1"/>
        <v>44302</v>
      </c>
      <c r="C67">
        <v>2021</v>
      </c>
      <c r="D67">
        <v>4</v>
      </c>
      <c r="E67">
        <v>16</v>
      </c>
      <c r="F67" s="2">
        <v>110961000</v>
      </c>
      <c r="G67" s="2">
        <v>100027000</v>
      </c>
      <c r="H67" s="2">
        <v>104786000</v>
      </c>
      <c r="I67" s="2">
        <v>55450000</v>
      </c>
      <c r="J67" s="2">
        <v>49336000</v>
      </c>
      <c r="K67" s="2">
        <v>1178651000</v>
      </c>
      <c r="L67" s="2">
        <v>73316000</v>
      </c>
      <c r="M67" s="3">
        <v>210.67</v>
      </c>
      <c r="N67" s="4">
        <v>2873</v>
      </c>
      <c r="O67" s="2">
        <v>68000000</v>
      </c>
      <c r="P67" s="3">
        <v>199.85</v>
      </c>
      <c r="Q67" s="4">
        <v>2939</v>
      </c>
      <c r="R67" s="2">
        <f t="shared" si="2"/>
        <v>6175000</v>
      </c>
      <c r="S67">
        <f t="shared" si="3"/>
        <v>0.94434981660222961</v>
      </c>
      <c r="T67">
        <f t="shared" si="4"/>
        <v>5.5650183397770385E-2</v>
      </c>
    </row>
    <row r="68" spans="1:20" x14ac:dyDescent="0.25">
      <c r="A68" t="str">
        <f t="shared" si="0"/>
        <v>April</v>
      </c>
      <c r="B68" s="5">
        <f t="shared" si="1"/>
        <v>44295</v>
      </c>
      <c r="C68">
        <v>2021</v>
      </c>
      <c r="D68">
        <v>4</v>
      </c>
      <c r="E68">
        <v>9</v>
      </c>
      <c r="F68" s="2">
        <v>100915000</v>
      </c>
      <c r="G68" s="2">
        <v>91152000</v>
      </c>
      <c r="H68" s="2">
        <v>95562000</v>
      </c>
      <c r="I68" s="2">
        <v>49947000</v>
      </c>
      <c r="J68" s="2">
        <v>45615000</v>
      </c>
      <c r="K68" s="2">
        <v>1130085000</v>
      </c>
      <c r="L68" s="2">
        <v>67727000</v>
      </c>
      <c r="M68" s="3">
        <v>195.6</v>
      </c>
      <c r="N68" s="4">
        <v>2888</v>
      </c>
      <c r="O68" s="2">
        <v>63114000</v>
      </c>
      <c r="P68" s="3">
        <v>186.28</v>
      </c>
      <c r="Q68" s="4">
        <v>2951</v>
      </c>
      <c r="R68" s="2">
        <f t="shared" si="2"/>
        <v>5353000</v>
      </c>
      <c r="S68">
        <f t="shared" si="3"/>
        <v>0.94695535846999945</v>
      </c>
      <c r="T68">
        <f t="shared" si="4"/>
        <v>5.3044641530000498E-2</v>
      </c>
    </row>
    <row r="69" spans="1:20" x14ac:dyDescent="0.25">
      <c r="A69" t="str">
        <f t="shared" ref="A69:A132" si="5">TEXT(B69,"mmmm")</f>
        <v>April</v>
      </c>
      <c r="B69" s="5">
        <f t="shared" ref="B69:B132" si="6">DATE(C69,D69,E69)</f>
        <v>44288</v>
      </c>
      <c r="C69">
        <v>2021</v>
      </c>
      <c r="D69">
        <v>4</v>
      </c>
      <c r="E69">
        <v>2</v>
      </c>
      <c r="F69" s="2">
        <v>93202000</v>
      </c>
      <c r="G69" s="2">
        <v>83712000</v>
      </c>
      <c r="H69" s="2">
        <v>88285000</v>
      </c>
      <c r="I69" s="2">
        <v>44992000</v>
      </c>
      <c r="J69" s="2">
        <v>43293000</v>
      </c>
      <c r="K69" s="2">
        <v>1070694000</v>
      </c>
      <c r="L69" s="2">
        <v>62305000</v>
      </c>
      <c r="M69" s="3">
        <v>180.25</v>
      </c>
      <c r="N69" s="4">
        <v>2893</v>
      </c>
      <c r="O69" s="2">
        <v>58325000</v>
      </c>
      <c r="P69" s="3">
        <v>172.27</v>
      </c>
      <c r="Q69" s="4">
        <v>2954</v>
      </c>
      <c r="R69" s="2">
        <f t="shared" ref="R69:R132" si="7">F69-H69</f>
        <v>4917000</v>
      </c>
      <c r="S69">
        <f t="shared" ref="S69:S132" si="8">H69/F69</f>
        <v>0.94724362138151541</v>
      </c>
      <c r="T69">
        <f t="shared" ref="T69:T132" si="9">R69/F69</f>
        <v>5.2756378618484583E-2</v>
      </c>
    </row>
    <row r="70" spans="1:20" x14ac:dyDescent="0.25">
      <c r="A70" t="str">
        <f t="shared" si="5"/>
        <v>March</v>
      </c>
      <c r="B70" s="5">
        <f t="shared" si="6"/>
        <v>44281</v>
      </c>
      <c r="C70">
        <v>2021</v>
      </c>
      <c r="D70">
        <v>3</v>
      </c>
      <c r="E70">
        <v>26</v>
      </c>
      <c r="F70" s="2">
        <v>85005000</v>
      </c>
      <c r="G70" s="2">
        <v>75971000</v>
      </c>
      <c r="H70" s="2">
        <v>80835000</v>
      </c>
      <c r="I70" s="2">
        <v>39926000</v>
      </c>
      <c r="J70" s="2">
        <v>40909000</v>
      </c>
      <c r="K70" s="2">
        <v>991159000</v>
      </c>
      <c r="L70" s="2">
        <v>56494000</v>
      </c>
      <c r="M70" s="3">
        <v>163.92</v>
      </c>
      <c r="N70" s="4">
        <v>2902</v>
      </c>
      <c r="O70" s="2">
        <v>53152000</v>
      </c>
      <c r="P70" s="3">
        <v>157.28</v>
      </c>
      <c r="Q70" s="4">
        <v>2959</v>
      </c>
      <c r="R70" s="2">
        <f t="shared" si="7"/>
        <v>4170000</v>
      </c>
      <c r="S70">
        <f t="shared" si="8"/>
        <v>0.95094406211399329</v>
      </c>
      <c r="T70">
        <f t="shared" si="9"/>
        <v>4.9055937886006706E-2</v>
      </c>
    </row>
    <row r="71" spans="1:20" x14ac:dyDescent="0.25">
      <c r="A71" t="str">
        <f t="shared" si="5"/>
        <v>March</v>
      </c>
      <c r="B71" s="5">
        <f t="shared" si="6"/>
        <v>44274</v>
      </c>
      <c r="C71">
        <v>2021</v>
      </c>
      <c r="D71">
        <v>3</v>
      </c>
      <c r="E71">
        <v>19</v>
      </c>
      <c r="F71" s="2">
        <v>76097000</v>
      </c>
      <c r="G71" s="2">
        <v>67704000</v>
      </c>
      <c r="H71" s="2">
        <v>72730000</v>
      </c>
      <c r="I71" s="2">
        <v>34566000</v>
      </c>
      <c r="J71" s="2">
        <v>38164000</v>
      </c>
      <c r="K71" s="2">
        <v>879042000</v>
      </c>
      <c r="L71" s="2">
        <v>49722000</v>
      </c>
      <c r="M71" s="3">
        <v>145.63</v>
      </c>
      <c r="N71" s="4">
        <v>2929</v>
      </c>
      <c r="O71" s="2">
        <v>47093000</v>
      </c>
      <c r="P71" s="3">
        <v>140.43</v>
      </c>
      <c r="Q71" s="4">
        <v>2982</v>
      </c>
      <c r="R71" s="2">
        <f t="shared" si="7"/>
        <v>3367000</v>
      </c>
      <c r="S71">
        <f t="shared" si="8"/>
        <v>0.9557538404930549</v>
      </c>
      <c r="T71">
        <f t="shared" si="9"/>
        <v>4.4246159506945083E-2</v>
      </c>
    </row>
    <row r="72" spans="1:20" x14ac:dyDescent="0.25">
      <c r="A72" t="str">
        <f t="shared" si="5"/>
        <v>March</v>
      </c>
      <c r="B72" s="5">
        <f t="shared" si="6"/>
        <v>44267</v>
      </c>
      <c r="C72">
        <v>2021</v>
      </c>
      <c r="D72">
        <v>3</v>
      </c>
      <c r="E72">
        <v>12</v>
      </c>
      <c r="F72" s="2">
        <v>66065000</v>
      </c>
      <c r="G72" s="2">
        <v>58490000</v>
      </c>
      <c r="H72" s="2">
        <v>63492000</v>
      </c>
      <c r="I72" s="2">
        <v>29293000</v>
      </c>
      <c r="J72" s="2">
        <v>34199000</v>
      </c>
      <c r="K72" s="2">
        <v>659291000</v>
      </c>
      <c r="L72" s="2">
        <v>42513000</v>
      </c>
      <c r="M72" s="3">
        <v>126.12</v>
      </c>
      <c r="N72" s="4">
        <v>2967</v>
      </c>
      <c r="O72" s="2">
        <v>40492000</v>
      </c>
      <c r="P72" s="3">
        <v>122.14</v>
      </c>
      <c r="Q72" s="4">
        <v>3016</v>
      </c>
      <c r="R72" s="2">
        <f t="shared" si="7"/>
        <v>2573000</v>
      </c>
      <c r="S72">
        <f t="shared" si="8"/>
        <v>0.96105350790887767</v>
      </c>
      <c r="T72">
        <f t="shared" si="9"/>
        <v>3.894649209112238E-2</v>
      </c>
    </row>
    <row r="73" spans="1:20" x14ac:dyDescent="0.25">
      <c r="A73" t="str">
        <f t="shared" si="5"/>
        <v>March</v>
      </c>
      <c r="B73" s="5">
        <f t="shared" si="6"/>
        <v>44260</v>
      </c>
      <c r="C73">
        <v>2021</v>
      </c>
      <c r="D73">
        <v>3</v>
      </c>
      <c r="E73">
        <v>5</v>
      </c>
      <c r="F73" s="2">
        <v>55716000</v>
      </c>
      <c r="G73" s="2">
        <v>48967000</v>
      </c>
      <c r="H73" s="2">
        <v>53922000</v>
      </c>
      <c r="I73" s="2">
        <v>23926000</v>
      </c>
      <c r="J73" s="2">
        <v>29996000</v>
      </c>
      <c r="K73" s="2">
        <v>555744000</v>
      </c>
      <c r="L73" s="2">
        <v>36049000</v>
      </c>
      <c r="M73" s="3">
        <v>107.78</v>
      </c>
      <c r="N73" s="4">
        <v>2990</v>
      </c>
      <c r="O73" s="2">
        <v>34498000</v>
      </c>
      <c r="P73" s="3">
        <v>104.72</v>
      </c>
      <c r="Q73" s="4">
        <v>3036</v>
      </c>
      <c r="R73" s="2">
        <f t="shared" si="7"/>
        <v>1794000</v>
      </c>
      <c r="S73">
        <f t="shared" si="8"/>
        <v>0.96780099073874648</v>
      </c>
      <c r="T73">
        <f t="shared" si="9"/>
        <v>3.2199009261253499E-2</v>
      </c>
    </row>
    <row r="74" spans="1:20" x14ac:dyDescent="0.25">
      <c r="A74" t="str">
        <f t="shared" si="5"/>
        <v>February</v>
      </c>
      <c r="B74" s="5">
        <f t="shared" si="6"/>
        <v>44253</v>
      </c>
      <c r="C74">
        <v>2021</v>
      </c>
      <c r="D74">
        <v>2</v>
      </c>
      <c r="E74">
        <v>26</v>
      </c>
      <c r="F74" s="2">
        <v>45271000</v>
      </c>
      <c r="G74" s="2">
        <v>39402000</v>
      </c>
      <c r="H74" s="2">
        <v>43936000</v>
      </c>
      <c r="I74" s="2">
        <v>18344000</v>
      </c>
      <c r="J74" s="2">
        <v>25592000</v>
      </c>
      <c r="K74" s="2">
        <v>493500000</v>
      </c>
      <c r="L74" s="2">
        <v>28301000</v>
      </c>
      <c r="M74" s="3">
        <v>85.48</v>
      </c>
      <c r="N74" s="4">
        <v>3021</v>
      </c>
      <c r="O74" s="2">
        <v>27228000</v>
      </c>
      <c r="P74" s="3">
        <v>83.41</v>
      </c>
      <c r="Q74" s="4">
        <v>3063</v>
      </c>
      <c r="R74" s="2">
        <f t="shared" si="7"/>
        <v>1335000</v>
      </c>
      <c r="S74">
        <f t="shared" si="8"/>
        <v>0.97051092310750808</v>
      </c>
      <c r="T74">
        <f t="shared" si="9"/>
        <v>2.9489076892491882E-2</v>
      </c>
    </row>
    <row r="75" spans="1:20" x14ac:dyDescent="0.25">
      <c r="A75" t="str">
        <f t="shared" si="5"/>
        <v>February</v>
      </c>
      <c r="B75" s="5">
        <f t="shared" si="6"/>
        <v>44246</v>
      </c>
      <c r="C75">
        <v>2021</v>
      </c>
      <c r="D75">
        <v>2</v>
      </c>
      <c r="E75">
        <v>19</v>
      </c>
      <c r="F75" s="2">
        <v>34693000</v>
      </c>
      <c r="G75" s="2">
        <v>29832000</v>
      </c>
      <c r="H75" s="2">
        <v>33615000</v>
      </c>
      <c r="I75" s="2">
        <v>12813000</v>
      </c>
      <c r="J75" s="2">
        <v>20802000</v>
      </c>
      <c r="K75" s="2">
        <v>425806000</v>
      </c>
      <c r="L75" s="2">
        <v>16576000</v>
      </c>
      <c r="M75" s="3">
        <v>47.74</v>
      </c>
      <c r="N75" s="4">
        <v>2880</v>
      </c>
      <c r="O75" s="2">
        <v>16027000</v>
      </c>
      <c r="P75" s="3">
        <v>46.79</v>
      </c>
      <c r="Q75" s="4">
        <v>2920</v>
      </c>
      <c r="R75" s="2">
        <f t="shared" si="7"/>
        <v>1078000</v>
      </c>
      <c r="S75">
        <f t="shared" si="8"/>
        <v>0.96892744934136565</v>
      </c>
      <c r="T75">
        <f t="shared" si="9"/>
        <v>3.1072550658634308E-2</v>
      </c>
    </row>
    <row r="76" spans="1:20" x14ac:dyDescent="0.25">
      <c r="A76" t="str">
        <f t="shared" si="5"/>
        <v>February</v>
      </c>
      <c r="B76" s="5">
        <f t="shared" si="6"/>
        <v>44239</v>
      </c>
      <c r="C76">
        <v>2021</v>
      </c>
      <c r="D76">
        <v>2</v>
      </c>
      <c r="E76">
        <v>12</v>
      </c>
      <c r="F76" s="2">
        <v>20645000</v>
      </c>
      <c r="G76" s="2">
        <v>14695000</v>
      </c>
      <c r="H76" s="2">
        <v>19689000</v>
      </c>
      <c r="I76" s="2">
        <v>6859000</v>
      </c>
      <c r="J76" s="2">
        <v>12830000</v>
      </c>
      <c r="K76" s="2">
        <v>368647000</v>
      </c>
      <c r="L76" s="2">
        <v>1136000</v>
      </c>
      <c r="M76" s="3">
        <v>2.16</v>
      </c>
      <c r="N76" s="4">
        <v>1900</v>
      </c>
      <c r="O76" s="2">
        <v>1099000</v>
      </c>
      <c r="P76" s="3">
        <v>2.11</v>
      </c>
      <c r="Q76" s="4">
        <v>1921</v>
      </c>
      <c r="R76" s="2">
        <f t="shared" si="7"/>
        <v>956000</v>
      </c>
      <c r="S76">
        <f t="shared" si="8"/>
        <v>0.9536933882295956</v>
      </c>
      <c r="T76">
        <f t="shared" si="9"/>
        <v>4.6306611770404453E-2</v>
      </c>
    </row>
    <row r="77" spans="1:20" x14ac:dyDescent="0.25">
      <c r="A77" t="str">
        <f t="shared" si="5"/>
        <v>December</v>
      </c>
      <c r="B77" s="5">
        <f t="shared" si="6"/>
        <v>44176</v>
      </c>
      <c r="C77">
        <v>2020</v>
      </c>
      <c r="D77">
        <v>12</v>
      </c>
      <c r="E77">
        <v>11</v>
      </c>
      <c r="F77" s="2">
        <v>169684000</v>
      </c>
      <c r="G77" s="2">
        <v>163654000</v>
      </c>
      <c r="H77" s="2">
        <v>152802000</v>
      </c>
      <c r="I77" s="2">
        <v>80582000</v>
      </c>
      <c r="J77" s="2">
        <v>72220000</v>
      </c>
      <c r="K77" s="2">
        <v>1647043000</v>
      </c>
      <c r="L77" s="2">
        <v>125851000</v>
      </c>
      <c r="M77" s="3">
        <v>320.85000000000002</v>
      </c>
      <c r="N77" s="4">
        <v>2549</v>
      </c>
      <c r="O77" s="2">
        <v>102695000</v>
      </c>
      <c r="P77" s="3">
        <v>269.26</v>
      </c>
      <c r="Q77" s="4">
        <v>2622</v>
      </c>
      <c r="R77" s="2">
        <f t="shared" si="7"/>
        <v>16882000</v>
      </c>
      <c r="S77">
        <f t="shared" si="8"/>
        <v>0.9005091817731784</v>
      </c>
      <c r="T77">
        <f t="shared" si="9"/>
        <v>9.9490818226821626E-2</v>
      </c>
    </row>
    <row r="78" spans="1:20" x14ac:dyDescent="0.25">
      <c r="A78" t="str">
        <f t="shared" si="5"/>
        <v>December</v>
      </c>
      <c r="B78" s="5">
        <f t="shared" si="6"/>
        <v>44169</v>
      </c>
      <c r="C78">
        <v>2020</v>
      </c>
      <c r="D78">
        <v>12</v>
      </c>
      <c r="E78">
        <v>4</v>
      </c>
      <c r="F78" s="2">
        <v>169153000</v>
      </c>
      <c r="G78" s="2">
        <v>163217000</v>
      </c>
      <c r="H78" s="2">
        <v>152802000</v>
      </c>
      <c r="I78" s="2">
        <v>80582000</v>
      </c>
      <c r="J78" s="2">
        <v>72220000</v>
      </c>
      <c r="K78" s="2">
        <v>1637545000</v>
      </c>
      <c r="L78" s="2">
        <v>125703000</v>
      </c>
      <c r="M78" s="3">
        <v>320.02</v>
      </c>
      <c r="N78" s="4">
        <v>2546</v>
      </c>
      <c r="O78" s="2">
        <v>102623000</v>
      </c>
      <c r="P78" s="3">
        <v>268.89</v>
      </c>
      <c r="Q78" s="4">
        <v>2620</v>
      </c>
      <c r="R78" s="2">
        <f t="shared" si="7"/>
        <v>16351000</v>
      </c>
      <c r="S78">
        <f t="shared" si="8"/>
        <v>0.90333603305882837</v>
      </c>
      <c r="T78">
        <f t="shared" si="9"/>
        <v>9.6663966941171603E-2</v>
      </c>
    </row>
    <row r="79" spans="1:20" x14ac:dyDescent="0.25">
      <c r="A79" t="str">
        <f t="shared" si="5"/>
        <v>November</v>
      </c>
      <c r="B79" s="5">
        <f t="shared" si="6"/>
        <v>44155</v>
      </c>
      <c r="C79">
        <v>2020</v>
      </c>
      <c r="D79">
        <v>11</v>
      </c>
      <c r="E79">
        <v>20</v>
      </c>
      <c r="F79" s="2">
        <v>168650000</v>
      </c>
      <c r="G79" s="2">
        <v>162472000</v>
      </c>
      <c r="H79" s="2">
        <v>152802000</v>
      </c>
      <c r="I79" s="2">
        <v>80582000</v>
      </c>
      <c r="J79" s="2">
        <v>72220000</v>
      </c>
      <c r="K79" s="2">
        <v>1619588000</v>
      </c>
      <c r="L79" s="2">
        <v>125299000</v>
      </c>
      <c r="M79" s="3">
        <v>317.69</v>
      </c>
      <c r="N79" s="4">
        <v>2535</v>
      </c>
      <c r="O79" s="2">
        <v>102399000</v>
      </c>
      <c r="P79" s="3">
        <v>267.86</v>
      </c>
      <c r="Q79" s="4">
        <v>2616</v>
      </c>
      <c r="R79" s="2">
        <f t="shared" si="7"/>
        <v>15848000</v>
      </c>
      <c r="S79">
        <f t="shared" si="8"/>
        <v>0.9060302401423066</v>
      </c>
      <c r="T79">
        <f t="shared" si="9"/>
        <v>9.3969759857693444E-2</v>
      </c>
    </row>
    <row r="80" spans="1:20" x14ac:dyDescent="0.25">
      <c r="A80" t="str">
        <f t="shared" si="5"/>
        <v>October</v>
      </c>
      <c r="B80" s="5">
        <f t="shared" si="6"/>
        <v>44127</v>
      </c>
      <c r="C80">
        <v>2020</v>
      </c>
      <c r="D80">
        <v>10</v>
      </c>
      <c r="E80">
        <v>23</v>
      </c>
      <c r="F80" s="2">
        <v>166255000</v>
      </c>
      <c r="G80" s="2">
        <v>160171000</v>
      </c>
      <c r="H80" s="2">
        <v>152066000</v>
      </c>
      <c r="I80" s="2">
        <v>80186000</v>
      </c>
      <c r="J80" s="2">
        <v>71880000</v>
      </c>
      <c r="K80" s="2">
        <v>1573404000</v>
      </c>
      <c r="L80" s="2">
        <v>124164000</v>
      </c>
      <c r="M80" s="3">
        <v>309.75</v>
      </c>
      <c r="N80" s="4">
        <v>2495</v>
      </c>
      <c r="O80" s="2">
        <v>101773000</v>
      </c>
      <c r="P80" s="3">
        <v>263.77999999999997</v>
      </c>
      <c r="Q80" s="4">
        <v>2592</v>
      </c>
      <c r="R80" s="2">
        <f t="shared" si="7"/>
        <v>14189000</v>
      </c>
      <c r="S80">
        <f t="shared" si="8"/>
        <v>0.9146551983398995</v>
      </c>
      <c r="T80">
        <f t="shared" si="9"/>
        <v>8.5344801660100444E-2</v>
      </c>
    </row>
    <row r="81" spans="1:20" x14ac:dyDescent="0.25">
      <c r="A81" t="str">
        <f t="shared" si="5"/>
        <v>October</v>
      </c>
      <c r="B81" s="5">
        <f t="shared" si="6"/>
        <v>44120</v>
      </c>
      <c r="C81">
        <v>2020</v>
      </c>
      <c r="D81">
        <v>10</v>
      </c>
      <c r="E81">
        <v>16</v>
      </c>
      <c r="F81" s="2">
        <v>165624000</v>
      </c>
      <c r="G81" s="2">
        <v>159376000</v>
      </c>
      <c r="H81" s="2">
        <v>151812000</v>
      </c>
      <c r="I81" s="2">
        <v>80051000</v>
      </c>
      <c r="J81" s="2">
        <v>71761000</v>
      </c>
      <c r="K81" s="2">
        <v>1561914000</v>
      </c>
      <c r="L81" s="2">
        <v>123416000</v>
      </c>
      <c r="M81" s="3">
        <v>305.56</v>
      </c>
      <c r="N81" s="4">
        <v>2476</v>
      </c>
      <c r="O81" s="2">
        <v>101298000</v>
      </c>
      <c r="P81" s="3">
        <v>261.02</v>
      </c>
      <c r="Q81" s="4">
        <v>2577</v>
      </c>
      <c r="R81" s="2">
        <f t="shared" si="7"/>
        <v>13812000</v>
      </c>
      <c r="S81">
        <f t="shared" si="8"/>
        <v>0.91660628894363139</v>
      </c>
      <c r="T81">
        <f t="shared" si="9"/>
        <v>8.3393711056368641E-2</v>
      </c>
    </row>
    <row r="82" spans="1:20" x14ac:dyDescent="0.25">
      <c r="A82" t="str">
        <f t="shared" si="5"/>
        <v>July</v>
      </c>
      <c r="B82" s="5">
        <f t="shared" si="6"/>
        <v>44036</v>
      </c>
      <c r="C82">
        <v>2020</v>
      </c>
      <c r="D82">
        <v>7</v>
      </c>
      <c r="E82">
        <v>24</v>
      </c>
      <c r="F82" s="2">
        <v>152875000</v>
      </c>
      <c r="G82" s="2">
        <v>146556000</v>
      </c>
      <c r="H82" s="2">
        <v>143906000</v>
      </c>
      <c r="I82" s="2">
        <v>74125000</v>
      </c>
      <c r="J82" s="2">
        <v>69781000</v>
      </c>
      <c r="K82" s="2">
        <v>1397638000</v>
      </c>
      <c r="L82" s="2">
        <v>102904000</v>
      </c>
      <c r="M82" s="3">
        <v>282.02999999999997</v>
      </c>
      <c r="N82" s="4">
        <v>2741</v>
      </c>
      <c r="O82" s="2">
        <v>85333000</v>
      </c>
      <c r="P82" s="3">
        <v>245.21</v>
      </c>
      <c r="Q82" s="4">
        <v>2874</v>
      </c>
      <c r="R82" s="2">
        <f t="shared" si="7"/>
        <v>8969000</v>
      </c>
      <c r="S82">
        <f t="shared" si="8"/>
        <v>0.94133115290269831</v>
      </c>
      <c r="T82">
        <f t="shared" si="9"/>
        <v>5.8668847097301718E-2</v>
      </c>
    </row>
    <row r="83" spans="1:20" x14ac:dyDescent="0.25">
      <c r="A83" t="str">
        <f t="shared" si="5"/>
        <v>July</v>
      </c>
      <c r="B83" s="5">
        <f t="shared" si="6"/>
        <v>44029</v>
      </c>
      <c r="C83">
        <v>2020</v>
      </c>
      <c r="D83">
        <v>7</v>
      </c>
      <c r="E83">
        <v>17</v>
      </c>
      <c r="F83" s="2">
        <v>151782000</v>
      </c>
      <c r="G83" s="2">
        <v>145464000</v>
      </c>
      <c r="H83" s="2">
        <v>143379000</v>
      </c>
      <c r="I83" s="2">
        <v>73806000</v>
      </c>
      <c r="J83" s="2">
        <v>69573000</v>
      </c>
      <c r="K83" s="2">
        <v>1380722000</v>
      </c>
      <c r="L83" s="2">
        <v>100483000</v>
      </c>
      <c r="M83" s="3">
        <v>276.08999999999997</v>
      </c>
      <c r="N83" s="4">
        <v>2748</v>
      </c>
      <c r="O83" s="2">
        <v>83384000</v>
      </c>
      <c r="P83" s="3">
        <v>240.46</v>
      </c>
      <c r="Q83" s="4">
        <v>2884</v>
      </c>
      <c r="R83" s="2">
        <f t="shared" si="7"/>
        <v>8403000</v>
      </c>
      <c r="S83">
        <f t="shared" si="8"/>
        <v>0.94463770407558212</v>
      </c>
      <c r="T83">
        <f t="shared" si="9"/>
        <v>5.5362295924417916E-2</v>
      </c>
    </row>
    <row r="84" spans="1:20" x14ac:dyDescent="0.25">
      <c r="A84" t="str">
        <f t="shared" si="5"/>
        <v>July</v>
      </c>
      <c r="B84" s="5">
        <f t="shared" si="6"/>
        <v>44022</v>
      </c>
      <c r="C84">
        <v>2020</v>
      </c>
      <c r="D84">
        <v>7</v>
      </c>
      <c r="E84">
        <v>10</v>
      </c>
      <c r="F84" s="2">
        <v>147142000</v>
      </c>
      <c r="G84" s="2">
        <v>134603000</v>
      </c>
      <c r="H84" s="2">
        <v>133174000</v>
      </c>
      <c r="I84" s="2">
        <v>68921000</v>
      </c>
      <c r="J84" s="2">
        <v>64253000</v>
      </c>
      <c r="K84" s="2">
        <v>1353646000</v>
      </c>
      <c r="L84" s="2">
        <v>96798000</v>
      </c>
      <c r="M84" s="3">
        <v>267.32</v>
      </c>
      <c r="N84" s="4">
        <v>2762</v>
      </c>
      <c r="O84" s="2">
        <v>80394000</v>
      </c>
      <c r="P84" s="3">
        <v>233.09</v>
      </c>
      <c r="Q84" s="4">
        <v>2899</v>
      </c>
      <c r="R84" s="2">
        <f t="shared" si="7"/>
        <v>13968000</v>
      </c>
      <c r="S84">
        <f t="shared" si="8"/>
        <v>0.90507129167742728</v>
      </c>
      <c r="T84">
        <f t="shared" si="9"/>
        <v>9.4928708322572747E-2</v>
      </c>
    </row>
    <row r="85" spans="1:20" x14ac:dyDescent="0.25">
      <c r="A85" t="str">
        <f t="shared" si="5"/>
        <v>July</v>
      </c>
      <c r="B85" s="5">
        <f t="shared" si="6"/>
        <v>44015</v>
      </c>
      <c r="C85">
        <v>2020</v>
      </c>
      <c r="D85">
        <v>7</v>
      </c>
      <c r="E85">
        <v>3</v>
      </c>
      <c r="F85" s="2">
        <v>142375000</v>
      </c>
      <c r="G85" s="2">
        <v>130554000</v>
      </c>
      <c r="H85" s="2">
        <v>129421000</v>
      </c>
      <c r="I85" s="2">
        <v>66608000</v>
      </c>
      <c r="J85" s="2">
        <v>62813000</v>
      </c>
      <c r="K85" s="2">
        <v>1332820000</v>
      </c>
      <c r="L85" s="2">
        <v>95210000</v>
      </c>
      <c r="M85" s="3">
        <v>263.01</v>
      </c>
      <c r="N85" s="4">
        <v>2762</v>
      </c>
      <c r="O85" s="2">
        <v>79141000</v>
      </c>
      <c r="P85" s="3">
        <v>229.59</v>
      </c>
      <c r="Q85" s="4">
        <v>2901</v>
      </c>
      <c r="R85" s="2">
        <f t="shared" si="7"/>
        <v>12954000</v>
      </c>
      <c r="S85">
        <f t="shared" si="8"/>
        <v>0.90901492537313433</v>
      </c>
      <c r="T85">
        <f t="shared" si="9"/>
        <v>9.098507462686567E-2</v>
      </c>
    </row>
    <row r="86" spans="1:20" x14ac:dyDescent="0.25">
      <c r="A86" t="str">
        <f t="shared" si="5"/>
        <v>June</v>
      </c>
      <c r="B86" s="5">
        <f t="shared" si="6"/>
        <v>44008</v>
      </c>
      <c r="C86">
        <v>2020</v>
      </c>
      <c r="D86">
        <v>6</v>
      </c>
      <c r="E86">
        <v>26</v>
      </c>
      <c r="F86" s="2">
        <v>139938000</v>
      </c>
      <c r="G86" s="2">
        <v>128525000</v>
      </c>
      <c r="H86" s="2">
        <v>127274000</v>
      </c>
      <c r="I86" s="2">
        <v>65257000</v>
      </c>
      <c r="J86" s="2">
        <v>62017000</v>
      </c>
      <c r="K86" s="2">
        <v>1315097000</v>
      </c>
      <c r="L86" s="2">
        <v>94117000</v>
      </c>
      <c r="M86" s="3">
        <v>259.70999999999998</v>
      </c>
      <c r="N86" s="4">
        <v>2759</v>
      </c>
      <c r="O86" s="2">
        <v>78280000</v>
      </c>
      <c r="P86" s="3">
        <v>226.97</v>
      </c>
      <c r="Q86" s="4">
        <v>2899</v>
      </c>
      <c r="R86" s="2">
        <f t="shared" si="7"/>
        <v>12664000</v>
      </c>
      <c r="S86">
        <f t="shared" si="8"/>
        <v>0.90950277980248395</v>
      </c>
      <c r="T86">
        <f t="shared" si="9"/>
        <v>9.0497220197516048E-2</v>
      </c>
    </row>
    <row r="87" spans="1:20" x14ac:dyDescent="0.25">
      <c r="A87" t="str">
        <f t="shared" si="5"/>
        <v>June</v>
      </c>
      <c r="B87" s="5">
        <f t="shared" si="6"/>
        <v>44001</v>
      </c>
      <c r="C87">
        <v>2020</v>
      </c>
      <c r="D87">
        <v>6</v>
      </c>
      <c r="E87">
        <v>19</v>
      </c>
      <c r="F87" s="2">
        <v>138272000</v>
      </c>
      <c r="G87" s="2">
        <v>126587000</v>
      </c>
      <c r="H87" s="2">
        <v>125637000</v>
      </c>
      <c r="I87" s="2">
        <v>64154000</v>
      </c>
      <c r="J87" s="2">
        <v>61483000</v>
      </c>
      <c r="K87" s="2">
        <v>1295793000</v>
      </c>
      <c r="L87" s="2">
        <v>93204000</v>
      </c>
      <c r="M87" s="3">
        <v>257.55</v>
      </c>
      <c r="N87" s="4">
        <v>2763</v>
      </c>
      <c r="O87" s="2">
        <v>77561000</v>
      </c>
      <c r="P87" s="3">
        <v>225.17</v>
      </c>
      <c r="Q87" s="4">
        <v>2903</v>
      </c>
      <c r="R87" s="2">
        <f t="shared" si="7"/>
        <v>12635000</v>
      </c>
      <c r="S87">
        <f t="shared" si="8"/>
        <v>0.90862213607961118</v>
      </c>
      <c r="T87">
        <f t="shared" si="9"/>
        <v>9.1377863920388797E-2</v>
      </c>
    </row>
    <row r="88" spans="1:20" x14ac:dyDescent="0.25">
      <c r="A88" t="str">
        <f t="shared" si="5"/>
        <v>June</v>
      </c>
      <c r="B88" s="5">
        <f t="shared" si="6"/>
        <v>43994</v>
      </c>
      <c r="C88">
        <v>2020</v>
      </c>
      <c r="D88">
        <v>6</v>
      </c>
      <c r="E88">
        <v>12</v>
      </c>
      <c r="F88" s="2">
        <v>136509000</v>
      </c>
      <c r="G88" s="2">
        <v>124631000</v>
      </c>
      <c r="H88" s="2">
        <v>123984000</v>
      </c>
      <c r="I88" s="2">
        <v>63110000</v>
      </c>
      <c r="J88" s="2">
        <v>60874000</v>
      </c>
      <c r="K88" s="2">
        <v>1276240000</v>
      </c>
      <c r="L88" s="2">
        <v>92162000</v>
      </c>
      <c r="M88" s="3">
        <v>255</v>
      </c>
      <c r="N88" s="4">
        <v>2767</v>
      </c>
      <c r="O88" s="2">
        <v>76725000</v>
      </c>
      <c r="P88" s="3">
        <v>223.01</v>
      </c>
      <c r="Q88" s="4">
        <v>2907</v>
      </c>
      <c r="R88" s="2">
        <f t="shared" si="7"/>
        <v>12525000</v>
      </c>
      <c r="S88">
        <f t="shared" si="8"/>
        <v>0.90824780783684589</v>
      </c>
      <c r="T88">
        <f t="shared" si="9"/>
        <v>9.1752192163154084E-2</v>
      </c>
    </row>
    <row r="89" spans="1:20" x14ac:dyDescent="0.25">
      <c r="A89" t="str">
        <f t="shared" si="5"/>
        <v>June</v>
      </c>
      <c r="B89" s="5">
        <f t="shared" si="6"/>
        <v>43987</v>
      </c>
      <c r="C89">
        <v>2020</v>
      </c>
      <c r="D89">
        <v>6</v>
      </c>
      <c r="E89">
        <v>5</v>
      </c>
      <c r="F89" s="2">
        <v>135229000</v>
      </c>
      <c r="G89" s="2">
        <v>122870000</v>
      </c>
      <c r="H89" s="2">
        <v>122426000</v>
      </c>
      <c r="I89" s="2">
        <v>62119000</v>
      </c>
      <c r="J89" s="2">
        <v>60307000</v>
      </c>
      <c r="K89" s="2">
        <v>1254002000</v>
      </c>
      <c r="L89" s="2">
        <v>91383000</v>
      </c>
      <c r="M89" s="3">
        <v>253</v>
      </c>
      <c r="N89" s="4">
        <v>2769</v>
      </c>
      <c r="O89" s="2">
        <v>76092000</v>
      </c>
      <c r="P89" s="3">
        <v>221.31</v>
      </c>
      <c r="Q89" s="4">
        <v>2908</v>
      </c>
      <c r="R89" s="2">
        <f t="shared" si="7"/>
        <v>12803000</v>
      </c>
      <c r="S89">
        <f t="shared" si="8"/>
        <v>0.90532356225365862</v>
      </c>
      <c r="T89">
        <f t="shared" si="9"/>
        <v>9.4676437746341394E-2</v>
      </c>
    </row>
    <row r="90" spans="1:20" x14ac:dyDescent="0.25">
      <c r="A90" t="str">
        <f t="shared" si="5"/>
        <v>May</v>
      </c>
      <c r="B90" s="5">
        <f t="shared" si="6"/>
        <v>43980</v>
      </c>
      <c r="C90">
        <v>2020</v>
      </c>
      <c r="D90">
        <v>5</v>
      </c>
      <c r="E90">
        <v>29</v>
      </c>
      <c r="F90" s="2">
        <v>133811000</v>
      </c>
      <c r="G90" s="2">
        <v>121163000</v>
      </c>
      <c r="H90" s="2">
        <v>120947000</v>
      </c>
      <c r="I90" s="2">
        <v>61189000</v>
      </c>
      <c r="J90" s="2">
        <v>59758000</v>
      </c>
      <c r="K90" s="2">
        <v>1229022000</v>
      </c>
      <c r="L90" s="2">
        <v>90570000</v>
      </c>
      <c r="M90" s="3">
        <v>250.91</v>
      </c>
      <c r="N90" s="4">
        <v>2770</v>
      </c>
      <c r="O90" s="2">
        <v>75427000</v>
      </c>
      <c r="P90" s="3">
        <v>219.54</v>
      </c>
      <c r="Q90" s="4">
        <v>2911</v>
      </c>
      <c r="R90" s="2">
        <f t="shared" si="7"/>
        <v>12864000</v>
      </c>
      <c r="S90">
        <f t="shared" si="8"/>
        <v>0.90386440576634208</v>
      </c>
      <c r="T90">
        <f t="shared" si="9"/>
        <v>9.6135594233657917E-2</v>
      </c>
    </row>
    <row r="91" spans="1:20" x14ac:dyDescent="0.25">
      <c r="A91" t="str">
        <f t="shared" si="5"/>
        <v>May</v>
      </c>
      <c r="B91" s="5">
        <f t="shared" si="6"/>
        <v>43973</v>
      </c>
      <c r="C91">
        <v>2020</v>
      </c>
      <c r="D91">
        <v>5</v>
      </c>
      <c r="E91">
        <v>22</v>
      </c>
      <c r="F91" s="2">
        <v>132351000</v>
      </c>
      <c r="G91" s="2">
        <v>119722000</v>
      </c>
      <c r="H91" s="2">
        <v>119544000</v>
      </c>
      <c r="I91" s="2">
        <v>60372000</v>
      </c>
      <c r="J91" s="2">
        <v>59172000</v>
      </c>
      <c r="K91" s="2">
        <v>1198616000</v>
      </c>
      <c r="L91" s="2">
        <v>89840000</v>
      </c>
      <c r="M91" s="3">
        <v>249.04</v>
      </c>
      <c r="N91" s="4">
        <v>2772</v>
      </c>
      <c r="O91" s="2">
        <v>74808000</v>
      </c>
      <c r="P91" s="3">
        <v>217.92</v>
      </c>
      <c r="Q91" s="4">
        <v>2913</v>
      </c>
      <c r="R91" s="2">
        <f t="shared" si="7"/>
        <v>12807000</v>
      </c>
      <c r="S91">
        <f t="shared" si="8"/>
        <v>0.90323458077385133</v>
      </c>
      <c r="T91">
        <f t="shared" si="9"/>
        <v>9.6765419226148647E-2</v>
      </c>
    </row>
    <row r="92" spans="1:20" x14ac:dyDescent="0.25">
      <c r="A92" t="str">
        <f t="shared" si="5"/>
        <v>May</v>
      </c>
      <c r="B92" s="5">
        <f t="shared" si="6"/>
        <v>43966</v>
      </c>
      <c r="C92">
        <v>2020</v>
      </c>
      <c r="D92">
        <v>5</v>
      </c>
      <c r="E92">
        <v>15</v>
      </c>
      <c r="F92" s="2">
        <v>130496000</v>
      </c>
      <c r="G92" s="2">
        <v>117918000</v>
      </c>
      <c r="H92" s="2">
        <v>117814000</v>
      </c>
      <c r="I92" s="2">
        <v>59355000</v>
      </c>
      <c r="J92" s="2">
        <v>58459000</v>
      </c>
      <c r="K92" s="2">
        <v>1156732000</v>
      </c>
      <c r="L92" s="2">
        <v>88227000</v>
      </c>
      <c r="M92" s="3">
        <v>245.08</v>
      </c>
      <c r="N92" s="4">
        <v>2778</v>
      </c>
      <c r="O92" s="2">
        <v>73425000</v>
      </c>
      <c r="P92" s="3">
        <v>214.44</v>
      </c>
      <c r="Q92" s="4">
        <v>2921</v>
      </c>
      <c r="R92" s="2">
        <f t="shared" si="7"/>
        <v>12682000</v>
      </c>
      <c r="S92">
        <f t="shared" si="8"/>
        <v>0.90281694458067685</v>
      </c>
      <c r="T92">
        <f t="shared" si="9"/>
        <v>9.7183055419323192E-2</v>
      </c>
    </row>
    <row r="93" spans="1:20" x14ac:dyDescent="0.25">
      <c r="A93" t="str">
        <f t="shared" si="5"/>
        <v>May</v>
      </c>
      <c r="B93" s="5">
        <f t="shared" si="6"/>
        <v>43959</v>
      </c>
      <c r="C93">
        <v>2020</v>
      </c>
      <c r="D93">
        <v>5</v>
      </c>
      <c r="E93">
        <v>8</v>
      </c>
      <c r="F93" s="2">
        <v>128204000</v>
      </c>
      <c r="G93" s="2">
        <v>115765000</v>
      </c>
      <c r="H93" s="2">
        <v>115696000</v>
      </c>
      <c r="I93" s="2">
        <v>58228000</v>
      </c>
      <c r="J93" s="2">
        <v>57468000</v>
      </c>
      <c r="K93" s="2">
        <v>1095606000</v>
      </c>
      <c r="L93" s="2">
        <v>87663000</v>
      </c>
      <c r="M93" s="3">
        <v>243.66</v>
      </c>
      <c r="N93" s="4">
        <v>2779</v>
      </c>
      <c r="O93" s="2">
        <v>72956000</v>
      </c>
      <c r="P93" s="3">
        <v>213.22</v>
      </c>
      <c r="Q93" s="4">
        <v>2923</v>
      </c>
      <c r="R93" s="2">
        <f t="shared" si="7"/>
        <v>12508000</v>
      </c>
      <c r="S93">
        <f t="shared" si="8"/>
        <v>0.90243674144332475</v>
      </c>
      <c r="T93">
        <f t="shared" si="9"/>
        <v>9.7563258556675303E-2</v>
      </c>
    </row>
    <row r="94" spans="1:20" x14ac:dyDescent="0.25">
      <c r="A94" t="str">
        <f t="shared" si="5"/>
        <v>May</v>
      </c>
      <c r="B94" s="5">
        <f t="shared" si="6"/>
        <v>43952</v>
      </c>
      <c r="C94">
        <v>2020</v>
      </c>
      <c r="D94">
        <v>5</v>
      </c>
      <c r="E94">
        <v>1</v>
      </c>
      <c r="F94" s="2">
        <v>125474000</v>
      </c>
      <c r="G94" s="2">
        <v>113095000</v>
      </c>
      <c r="H94" s="2">
        <v>113110000</v>
      </c>
      <c r="I94" s="2">
        <v>56965000</v>
      </c>
      <c r="J94" s="2">
        <v>56145000</v>
      </c>
      <c r="K94" s="2">
        <v>1020304000</v>
      </c>
      <c r="L94" s="2">
        <v>86471000</v>
      </c>
      <c r="M94" s="3">
        <v>240.45</v>
      </c>
      <c r="N94" s="4">
        <v>2781</v>
      </c>
      <c r="O94" s="2">
        <v>71977000</v>
      </c>
      <c r="P94" s="3">
        <v>210.52</v>
      </c>
      <c r="Q94" s="4">
        <v>2925</v>
      </c>
      <c r="R94" s="2">
        <f t="shared" si="7"/>
        <v>12364000</v>
      </c>
      <c r="S94">
        <f t="shared" si="8"/>
        <v>0.9014616573951576</v>
      </c>
      <c r="T94">
        <f t="shared" si="9"/>
        <v>9.8538342604842441E-2</v>
      </c>
    </row>
    <row r="95" spans="1:20" x14ac:dyDescent="0.25">
      <c r="A95" t="str">
        <f t="shared" si="5"/>
        <v>April</v>
      </c>
      <c r="B95" s="5">
        <f t="shared" si="6"/>
        <v>43945</v>
      </c>
      <c r="C95">
        <v>2020</v>
      </c>
      <c r="D95">
        <v>4</v>
      </c>
      <c r="E95">
        <v>24</v>
      </c>
      <c r="F95" s="2">
        <v>121892000</v>
      </c>
      <c r="G95" s="2">
        <v>110074000</v>
      </c>
      <c r="H95" s="2">
        <v>110089000</v>
      </c>
      <c r="I95" s="2">
        <v>55528000</v>
      </c>
      <c r="J95" s="2">
        <v>54561000</v>
      </c>
      <c r="K95" s="2">
        <v>898329140</v>
      </c>
      <c r="L95" s="2">
        <v>84771000</v>
      </c>
      <c r="M95" s="3">
        <v>236.37</v>
      </c>
      <c r="N95" s="4">
        <v>2788</v>
      </c>
      <c r="O95" s="2">
        <v>70525000</v>
      </c>
      <c r="P95" s="3">
        <v>206.99</v>
      </c>
      <c r="Q95" s="4">
        <v>2935</v>
      </c>
      <c r="R95" s="2">
        <f t="shared" si="7"/>
        <v>11803000</v>
      </c>
      <c r="S95">
        <f t="shared" si="8"/>
        <v>0.90316837856463095</v>
      </c>
      <c r="T95">
        <f t="shared" si="9"/>
        <v>9.6831621435369011E-2</v>
      </c>
    </row>
    <row r="96" spans="1:20" x14ac:dyDescent="0.25">
      <c r="A96" t="str">
        <f t="shared" si="5"/>
        <v>April</v>
      </c>
      <c r="B96" s="5">
        <f t="shared" si="6"/>
        <v>43938</v>
      </c>
      <c r="C96">
        <v>2020</v>
      </c>
      <c r="D96">
        <v>4</v>
      </c>
      <c r="E96">
        <v>17</v>
      </c>
      <c r="F96" s="2">
        <v>115961000</v>
      </c>
      <c r="G96" s="2">
        <v>106637000</v>
      </c>
      <c r="H96" s="2">
        <v>105991000</v>
      </c>
      <c r="I96" s="2">
        <v>53651000</v>
      </c>
      <c r="J96" s="2">
        <v>52340000</v>
      </c>
      <c r="K96" s="2">
        <v>744739000</v>
      </c>
      <c r="L96" s="2">
        <v>81349000</v>
      </c>
      <c r="M96" s="3">
        <v>229.28</v>
      </c>
      <c r="N96" s="4">
        <v>2818</v>
      </c>
      <c r="O96" s="2">
        <v>68028000</v>
      </c>
      <c r="P96" s="3">
        <v>201.61</v>
      </c>
      <c r="Q96" s="4">
        <v>2964</v>
      </c>
      <c r="R96" s="2">
        <f t="shared" si="7"/>
        <v>9970000</v>
      </c>
      <c r="S96">
        <f t="shared" si="8"/>
        <v>0.91402281801640206</v>
      </c>
      <c r="T96">
        <f t="shared" si="9"/>
        <v>8.5977181983597939E-2</v>
      </c>
    </row>
    <row r="97" spans="1:20" x14ac:dyDescent="0.25">
      <c r="A97" t="str">
        <f t="shared" si="5"/>
        <v>April</v>
      </c>
      <c r="B97" s="5">
        <f t="shared" si="6"/>
        <v>43931</v>
      </c>
      <c r="C97">
        <v>2020</v>
      </c>
      <c r="D97">
        <v>4</v>
      </c>
      <c r="E97">
        <v>10</v>
      </c>
      <c r="F97" s="2">
        <v>103986000</v>
      </c>
      <c r="G97" s="2">
        <v>97828000</v>
      </c>
      <c r="H97" s="2">
        <v>96798000</v>
      </c>
      <c r="I97" s="2">
        <v>50511000</v>
      </c>
      <c r="J97" s="2">
        <v>46287000</v>
      </c>
      <c r="K97" s="2">
        <v>486977000</v>
      </c>
      <c r="L97" s="2">
        <v>77252000</v>
      </c>
      <c r="M97" s="3">
        <v>220.36</v>
      </c>
      <c r="N97" s="4">
        <v>2852</v>
      </c>
      <c r="O97" s="2">
        <v>64762000</v>
      </c>
      <c r="P97" s="3">
        <v>194.23</v>
      </c>
      <c r="Q97" s="4">
        <v>2999</v>
      </c>
      <c r="R97" s="2">
        <f t="shared" si="7"/>
        <v>7188000</v>
      </c>
      <c r="S97">
        <f t="shared" si="8"/>
        <v>0.93087531013790314</v>
      </c>
      <c r="T97">
        <f t="shared" si="9"/>
        <v>6.9124689862096828E-2</v>
      </c>
    </row>
    <row r="98" spans="1:20" x14ac:dyDescent="0.25">
      <c r="A98" t="str">
        <f t="shared" si="5"/>
        <v>April</v>
      </c>
      <c r="B98" s="5">
        <f t="shared" si="6"/>
        <v>43924</v>
      </c>
      <c r="C98">
        <v>2020</v>
      </c>
      <c r="D98">
        <v>4</v>
      </c>
      <c r="E98">
        <v>3</v>
      </c>
      <c r="F98" s="2">
        <v>97366000</v>
      </c>
      <c r="G98" s="2">
        <v>92509000</v>
      </c>
      <c r="H98" s="2">
        <v>91448000</v>
      </c>
      <c r="I98" s="2">
        <v>47672000</v>
      </c>
      <c r="J98" s="2">
        <v>43776000</v>
      </c>
      <c r="K98" s="2">
        <v>432444000</v>
      </c>
      <c r="L98" s="2">
        <v>74055000</v>
      </c>
      <c r="M98" s="3">
        <v>213.13</v>
      </c>
      <c r="N98" s="4">
        <v>2878</v>
      </c>
      <c r="O98" s="2">
        <v>62017000</v>
      </c>
      <c r="P98" s="3">
        <v>187.9</v>
      </c>
      <c r="Q98" s="4">
        <v>3030</v>
      </c>
      <c r="R98" s="2">
        <f t="shared" si="7"/>
        <v>5918000</v>
      </c>
      <c r="S98">
        <f t="shared" si="8"/>
        <v>0.93921902922991596</v>
      </c>
      <c r="T98">
        <f t="shared" si="9"/>
        <v>6.0780970770084014E-2</v>
      </c>
    </row>
    <row r="99" spans="1:20" x14ac:dyDescent="0.25">
      <c r="A99" t="str">
        <f t="shared" si="5"/>
        <v>March</v>
      </c>
      <c r="B99" s="5">
        <f t="shared" si="6"/>
        <v>43917</v>
      </c>
      <c r="C99">
        <v>2020</v>
      </c>
      <c r="D99">
        <v>3</v>
      </c>
      <c r="E99">
        <v>27</v>
      </c>
      <c r="F99" s="2">
        <v>90617000</v>
      </c>
      <c r="G99" s="2">
        <v>87001000</v>
      </c>
      <c r="H99" s="2">
        <v>85559000</v>
      </c>
      <c r="I99" s="2">
        <v>44501000</v>
      </c>
      <c r="J99" s="2">
        <v>41058000</v>
      </c>
      <c r="K99" s="2">
        <v>394715000</v>
      </c>
      <c r="L99" s="2">
        <v>69931000</v>
      </c>
      <c r="M99" s="3">
        <v>203.38</v>
      </c>
      <c r="N99" s="4">
        <v>2908</v>
      </c>
      <c r="O99" s="2">
        <v>59029000</v>
      </c>
      <c r="P99" s="3">
        <v>180.49</v>
      </c>
      <c r="Q99" s="4">
        <v>3058</v>
      </c>
      <c r="R99" s="2">
        <f t="shared" si="7"/>
        <v>5058000</v>
      </c>
      <c r="S99">
        <f t="shared" si="8"/>
        <v>0.94418265888299102</v>
      </c>
      <c r="T99">
        <f t="shared" si="9"/>
        <v>5.5817341117008951E-2</v>
      </c>
    </row>
    <row r="100" spans="1:20" x14ac:dyDescent="0.25">
      <c r="A100" t="str">
        <f t="shared" si="5"/>
        <v>March</v>
      </c>
      <c r="B100" s="5">
        <f t="shared" si="6"/>
        <v>43910</v>
      </c>
      <c r="C100">
        <v>2020</v>
      </c>
      <c r="D100">
        <v>3</v>
      </c>
      <c r="E100">
        <v>20</v>
      </c>
      <c r="F100" s="2">
        <v>84222000</v>
      </c>
      <c r="G100" s="2">
        <v>81158000</v>
      </c>
      <c r="H100" s="2">
        <v>79688000</v>
      </c>
      <c r="I100" s="2">
        <v>41003000</v>
      </c>
      <c r="J100" s="2">
        <v>38685000</v>
      </c>
      <c r="K100" s="2">
        <v>369251000</v>
      </c>
      <c r="L100" s="2">
        <v>65097000</v>
      </c>
      <c r="M100" s="3">
        <v>191.11</v>
      </c>
      <c r="N100" s="4">
        <v>2936</v>
      </c>
      <c r="O100" s="2">
        <v>55584000</v>
      </c>
      <c r="P100" s="3">
        <v>171.16</v>
      </c>
      <c r="Q100" s="4">
        <v>3079</v>
      </c>
      <c r="R100" s="2">
        <f t="shared" si="7"/>
        <v>4534000</v>
      </c>
      <c r="S100">
        <f t="shared" si="8"/>
        <v>0.94616608487093634</v>
      </c>
      <c r="T100">
        <f t="shared" si="9"/>
        <v>5.3833915129063666E-2</v>
      </c>
    </row>
    <row r="101" spans="1:20" x14ac:dyDescent="0.25">
      <c r="A101" t="str">
        <f t="shared" si="5"/>
        <v>March</v>
      </c>
      <c r="B101" s="5">
        <f t="shared" si="6"/>
        <v>43903</v>
      </c>
      <c r="C101">
        <v>2020</v>
      </c>
      <c r="D101">
        <v>3</v>
      </c>
      <c r="E101">
        <v>13</v>
      </c>
      <c r="F101" s="2">
        <v>76191000</v>
      </c>
      <c r="G101" s="2">
        <v>73497000</v>
      </c>
      <c r="H101" s="2">
        <v>72309000</v>
      </c>
      <c r="I101" s="2">
        <v>36336000</v>
      </c>
      <c r="J101" s="2">
        <v>35973000</v>
      </c>
      <c r="K101" s="2">
        <v>345662000</v>
      </c>
      <c r="L101" s="2">
        <v>59235000</v>
      </c>
      <c r="M101" s="3">
        <v>176.09</v>
      </c>
      <c r="N101" s="4">
        <v>2973</v>
      </c>
      <c r="O101" s="2">
        <v>51456000</v>
      </c>
      <c r="P101" s="3">
        <v>159.79</v>
      </c>
      <c r="Q101" s="4">
        <v>3105</v>
      </c>
      <c r="R101" s="2">
        <f t="shared" si="7"/>
        <v>3882000</v>
      </c>
      <c r="S101">
        <f t="shared" si="8"/>
        <v>0.9490491002874355</v>
      </c>
      <c r="T101">
        <f t="shared" si="9"/>
        <v>5.0950899712564474E-2</v>
      </c>
    </row>
    <row r="102" spans="1:20" x14ac:dyDescent="0.25">
      <c r="A102" t="str">
        <f t="shared" si="5"/>
        <v>March</v>
      </c>
      <c r="B102" s="5">
        <f t="shared" si="6"/>
        <v>43896</v>
      </c>
      <c r="C102">
        <v>2020</v>
      </c>
      <c r="D102">
        <v>3</v>
      </c>
      <c r="E102">
        <v>6</v>
      </c>
      <c r="F102" s="2">
        <v>67998000</v>
      </c>
      <c r="G102" s="2">
        <v>65018000</v>
      </c>
      <c r="H102" s="2">
        <v>64806000</v>
      </c>
      <c r="I102" s="2">
        <v>31430000</v>
      </c>
      <c r="J102" s="2">
        <v>33376000</v>
      </c>
      <c r="K102" s="2">
        <v>321393000</v>
      </c>
      <c r="L102" s="2">
        <v>52721000</v>
      </c>
      <c r="M102" s="3">
        <v>158.81</v>
      </c>
      <c r="N102" s="4">
        <v>3012</v>
      </c>
      <c r="O102" s="2">
        <v>46870000</v>
      </c>
      <c r="P102" s="3">
        <v>146.65</v>
      </c>
      <c r="Q102" s="4">
        <v>3129</v>
      </c>
      <c r="R102" s="2">
        <f t="shared" si="7"/>
        <v>3192000</v>
      </c>
      <c r="S102">
        <f t="shared" si="8"/>
        <v>0.95305744286596661</v>
      </c>
      <c r="T102">
        <f t="shared" si="9"/>
        <v>4.6942557134033357E-2</v>
      </c>
    </row>
    <row r="103" spans="1:20" x14ac:dyDescent="0.25">
      <c r="A103" t="str">
        <f t="shared" si="5"/>
        <v>February</v>
      </c>
      <c r="B103" s="5">
        <f t="shared" si="6"/>
        <v>43889</v>
      </c>
      <c r="C103">
        <v>2020</v>
      </c>
      <c r="D103">
        <v>2</v>
      </c>
      <c r="E103">
        <v>28</v>
      </c>
      <c r="F103" s="2">
        <v>59305000</v>
      </c>
      <c r="G103" s="2">
        <v>57085000</v>
      </c>
      <c r="H103" s="2">
        <v>56736000</v>
      </c>
      <c r="I103" s="2">
        <v>26410000</v>
      </c>
      <c r="J103" s="2">
        <v>30326000</v>
      </c>
      <c r="K103" s="2">
        <v>291906000</v>
      </c>
      <c r="L103" s="2">
        <v>45552000</v>
      </c>
      <c r="M103" s="3">
        <v>139.59</v>
      </c>
      <c r="N103" s="4">
        <v>3064</v>
      </c>
      <c r="O103" s="2">
        <v>42636000</v>
      </c>
      <c r="P103" s="3">
        <v>134.19999999999999</v>
      </c>
      <c r="Q103" s="4">
        <v>3148</v>
      </c>
      <c r="R103" s="2">
        <f t="shared" si="7"/>
        <v>2569000</v>
      </c>
      <c r="S103">
        <f t="shared" si="8"/>
        <v>0.95668156141977911</v>
      </c>
      <c r="T103">
        <f t="shared" si="9"/>
        <v>4.3318438580220893E-2</v>
      </c>
    </row>
    <row r="104" spans="1:20" x14ac:dyDescent="0.25">
      <c r="A104" t="str">
        <f t="shared" si="5"/>
        <v>February</v>
      </c>
      <c r="B104" s="5">
        <f t="shared" si="6"/>
        <v>43882</v>
      </c>
      <c r="C104">
        <v>2020</v>
      </c>
      <c r="D104">
        <v>2</v>
      </c>
      <c r="E104">
        <v>21</v>
      </c>
      <c r="F104" s="2">
        <v>49888000</v>
      </c>
      <c r="G104" s="2">
        <v>48052000</v>
      </c>
      <c r="H104" s="2">
        <v>48012000</v>
      </c>
      <c r="I104" s="2">
        <v>21261000</v>
      </c>
      <c r="J104" s="2">
        <v>26751000</v>
      </c>
      <c r="K104" s="2">
        <v>242330000</v>
      </c>
      <c r="L104" s="2">
        <v>37454000</v>
      </c>
      <c r="M104" s="3">
        <v>117.06</v>
      </c>
      <c r="N104" s="4">
        <v>3125</v>
      </c>
      <c r="O104" s="2">
        <v>35422000</v>
      </c>
      <c r="P104" s="3">
        <v>113.37</v>
      </c>
      <c r="Q104" s="4">
        <v>3200</v>
      </c>
      <c r="R104" s="2">
        <f t="shared" si="7"/>
        <v>1876000</v>
      </c>
      <c r="S104">
        <f t="shared" si="8"/>
        <v>0.9623957665169981</v>
      </c>
      <c r="T104">
        <f t="shared" si="9"/>
        <v>3.7604233483001924E-2</v>
      </c>
    </row>
    <row r="105" spans="1:20" x14ac:dyDescent="0.25">
      <c r="A105" t="str">
        <f t="shared" si="5"/>
        <v>February</v>
      </c>
      <c r="B105" s="5">
        <f t="shared" si="6"/>
        <v>43875</v>
      </c>
      <c r="C105">
        <v>2020</v>
      </c>
      <c r="D105">
        <v>2</v>
      </c>
      <c r="E105">
        <v>14</v>
      </c>
      <c r="F105" s="2">
        <v>39622000</v>
      </c>
      <c r="G105" s="2">
        <v>38319000</v>
      </c>
      <c r="H105" s="2">
        <v>38368000</v>
      </c>
      <c r="I105" s="2">
        <v>16024000</v>
      </c>
      <c r="J105" s="2">
        <v>22344000</v>
      </c>
      <c r="K105" s="2">
        <v>165294000</v>
      </c>
      <c r="L105" s="2">
        <v>18166000</v>
      </c>
      <c r="M105" s="3">
        <v>36.57</v>
      </c>
      <c r="N105" s="4">
        <v>2013</v>
      </c>
      <c r="O105" s="2">
        <v>17094000</v>
      </c>
      <c r="P105" s="3">
        <v>35.270000000000003</v>
      </c>
      <c r="Q105" s="4">
        <v>2064</v>
      </c>
      <c r="R105" s="2">
        <f t="shared" si="7"/>
        <v>1254000</v>
      </c>
      <c r="S105">
        <f t="shared" si="8"/>
        <v>0.9683509161576902</v>
      </c>
      <c r="T105">
        <f t="shared" si="9"/>
        <v>3.1649083842309828E-2</v>
      </c>
    </row>
    <row r="106" spans="1:20" x14ac:dyDescent="0.25">
      <c r="A106" t="str">
        <f t="shared" si="5"/>
        <v>February</v>
      </c>
      <c r="B106" s="5">
        <f t="shared" si="6"/>
        <v>43868</v>
      </c>
      <c r="C106">
        <v>2020</v>
      </c>
      <c r="D106">
        <v>2</v>
      </c>
      <c r="E106">
        <v>7</v>
      </c>
      <c r="F106" s="2">
        <v>28662000</v>
      </c>
      <c r="G106" s="2">
        <v>27542000</v>
      </c>
      <c r="H106" s="2">
        <v>27774000</v>
      </c>
      <c r="I106" s="2">
        <v>10592000</v>
      </c>
      <c r="J106" s="2">
        <v>17182000</v>
      </c>
      <c r="K106" s="2">
        <v>110871000</v>
      </c>
      <c r="L106" s="2">
        <v>10837000</v>
      </c>
      <c r="M106" s="3">
        <v>21.16</v>
      </c>
      <c r="N106" s="4">
        <v>1952</v>
      </c>
      <c r="O106" s="2">
        <v>10315000</v>
      </c>
      <c r="P106" s="3">
        <v>20.58</v>
      </c>
      <c r="Q106" s="4">
        <v>1995</v>
      </c>
      <c r="R106" s="2">
        <f t="shared" si="7"/>
        <v>888000</v>
      </c>
      <c r="S106">
        <f t="shared" si="8"/>
        <v>0.96901821226711327</v>
      </c>
      <c r="T106">
        <f t="shared" si="9"/>
        <v>3.0981787732886748E-2</v>
      </c>
    </row>
    <row r="107" spans="1:20" x14ac:dyDescent="0.25">
      <c r="A107" t="str">
        <f t="shared" si="5"/>
        <v>January</v>
      </c>
      <c r="B107" s="5">
        <f t="shared" si="6"/>
        <v>43861</v>
      </c>
      <c r="C107">
        <v>2020</v>
      </c>
      <c r="D107">
        <v>1</v>
      </c>
      <c r="E107">
        <v>31</v>
      </c>
      <c r="F107" s="2">
        <v>15777000</v>
      </c>
      <c r="G107" s="2">
        <v>12943000</v>
      </c>
      <c r="H107" s="2">
        <v>15123000</v>
      </c>
      <c r="I107" s="2">
        <v>5236000</v>
      </c>
      <c r="J107" s="2">
        <v>9887000</v>
      </c>
      <c r="K107" s="2">
        <v>68097000</v>
      </c>
      <c r="L107" s="2">
        <v>4299000</v>
      </c>
      <c r="M107" s="3">
        <v>8.0399999999999991</v>
      </c>
      <c r="N107" s="4">
        <v>1869</v>
      </c>
      <c r="O107" s="2">
        <v>4100000</v>
      </c>
      <c r="P107" s="3">
        <v>7.85</v>
      </c>
      <c r="Q107" s="4">
        <v>1915</v>
      </c>
      <c r="R107" s="2">
        <f t="shared" si="7"/>
        <v>654000</v>
      </c>
      <c r="S107">
        <f t="shared" si="8"/>
        <v>0.95854725232934013</v>
      </c>
      <c r="T107">
        <f t="shared" si="9"/>
        <v>4.1452747670659824E-2</v>
      </c>
    </row>
    <row r="108" spans="1:20" x14ac:dyDescent="0.25">
      <c r="A108" t="str">
        <f t="shared" si="5"/>
        <v>December</v>
      </c>
      <c r="B108" s="5">
        <f t="shared" si="6"/>
        <v>43826</v>
      </c>
      <c r="C108">
        <v>2019</v>
      </c>
      <c r="D108">
        <v>12</v>
      </c>
      <c r="E108">
        <v>27</v>
      </c>
      <c r="F108" s="2">
        <v>155798000</v>
      </c>
      <c r="G108" s="2">
        <v>155611000</v>
      </c>
      <c r="H108" s="2">
        <v>138217000</v>
      </c>
      <c r="I108" s="2">
        <v>80630000</v>
      </c>
      <c r="J108" s="2">
        <v>57587000</v>
      </c>
      <c r="K108" s="2">
        <v>652418000</v>
      </c>
      <c r="L108" s="2">
        <v>112811000</v>
      </c>
      <c r="M108" s="3">
        <v>322.81</v>
      </c>
      <c r="N108" s="4">
        <v>2869</v>
      </c>
      <c r="O108" s="2">
        <v>92059000</v>
      </c>
      <c r="P108" s="3">
        <v>274.25</v>
      </c>
      <c r="Q108" s="4">
        <v>2979</v>
      </c>
      <c r="R108" s="2">
        <f t="shared" si="7"/>
        <v>17581000</v>
      </c>
      <c r="S108">
        <f t="shared" si="8"/>
        <v>0.88715516245394677</v>
      </c>
      <c r="T108">
        <f t="shared" si="9"/>
        <v>0.11284483754605322</v>
      </c>
    </row>
    <row r="109" spans="1:20" x14ac:dyDescent="0.25">
      <c r="A109" t="str">
        <f t="shared" si="5"/>
        <v>December</v>
      </c>
      <c r="B109" s="5">
        <f t="shared" si="6"/>
        <v>43812</v>
      </c>
      <c r="C109">
        <v>2019</v>
      </c>
      <c r="D109">
        <v>12</v>
      </c>
      <c r="E109">
        <v>13</v>
      </c>
      <c r="F109" s="2">
        <v>155660000</v>
      </c>
      <c r="G109" s="2">
        <v>155429000</v>
      </c>
      <c r="H109" s="2">
        <v>138217000</v>
      </c>
      <c r="I109" s="2">
        <v>80630000</v>
      </c>
      <c r="J109" s="2">
        <v>57587000</v>
      </c>
      <c r="K109" s="2">
        <v>640367000</v>
      </c>
      <c r="L109" s="2">
        <v>112254000</v>
      </c>
      <c r="M109" s="3">
        <v>322.18</v>
      </c>
      <c r="N109" s="4">
        <v>2870</v>
      </c>
      <c r="O109" s="2">
        <v>92021000</v>
      </c>
      <c r="P109" s="3">
        <v>274.02</v>
      </c>
      <c r="Q109" s="4">
        <v>2978</v>
      </c>
      <c r="R109" s="2">
        <f t="shared" si="7"/>
        <v>17443000</v>
      </c>
      <c r="S109">
        <f t="shared" si="8"/>
        <v>0.88794166773737637</v>
      </c>
      <c r="T109">
        <f t="shared" si="9"/>
        <v>0.11205833226262367</v>
      </c>
    </row>
    <row r="110" spans="1:20" x14ac:dyDescent="0.25">
      <c r="A110" t="str">
        <f t="shared" si="5"/>
        <v>November</v>
      </c>
      <c r="B110" s="5">
        <f t="shared" si="6"/>
        <v>43791</v>
      </c>
      <c r="C110">
        <v>2019</v>
      </c>
      <c r="D110">
        <v>11</v>
      </c>
      <c r="E110">
        <v>22</v>
      </c>
      <c r="F110" s="2">
        <v>155402000</v>
      </c>
      <c r="G110" s="2">
        <v>155096000</v>
      </c>
      <c r="H110" s="2">
        <v>138217000</v>
      </c>
      <c r="I110" s="2">
        <v>80630000</v>
      </c>
      <c r="J110" s="2">
        <v>57587000</v>
      </c>
      <c r="K110" s="2">
        <v>625522000</v>
      </c>
      <c r="L110" s="2">
        <v>111596000</v>
      </c>
      <c r="M110" s="3">
        <v>319.22000000000003</v>
      </c>
      <c r="N110" s="4">
        <v>2860</v>
      </c>
      <c r="O110" s="2">
        <v>91955000</v>
      </c>
      <c r="P110" s="3">
        <v>273.52999999999997</v>
      </c>
      <c r="Q110" s="4">
        <v>2975</v>
      </c>
      <c r="R110" s="2">
        <f t="shared" si="7"/>
        <v>17185000</v>
      </c>
      <c r="S110">
        <f t="shared" si="8"/>
        <v>0.88941583763400733</v>
      </c>
      <c r="T110">
        <f t="shared" si="9"/>
        <v>0.11058416236599272</v>
      </c>
    </row>
    <row r="111" spans="1:20" x14ac:dyDescent="0.25">
      <c r="A111" t="str">
        <f t="shared" si="5"/>
        <v>October</v>
      </c>
      <c r="B111" s="5">
        <f t="shared" si="6"/>
        <v>43756</v>
      </c>
      <c r="C111">
        <v>2019</v>
      </c>
      <c r="D111">
        <v>10</v>
      </c>
      <c r="E111">
        <v>18</v>
      </c>
      <c r="F111" s="2">
        <v>154297000</v>
      </c>
      <c r="G111" s="2">
        <v>153721000</v>
      </c>
      <c r="H111" s="2">
        <v>137866000</v>
      </c>
      <c r="I111" s="2">
        <v>80294000</v>
      </c>
      <c r="J111" s="2">
        <v>57572000</v>
      </c>
      <c r="K111" s="2">
        <v>596722000</v>
      </c>
      <c r="L111" s="2">
        <v>110582000</v>
      </c>
      <c r="M111" s="3">
        <v>307.56</v>
      </c>
      <c r="N111" s="4">
        <v>2781</v>
      </c>
      <c r="O111" s="2">
        <v>91544000</v>
      </c>
      <c r="P111" s="3">
        <v>268.66000000000003</v>
      </c>
      <c r="Q111" s="4">
        <v>2935</v>
      </c>
      <c r="R111" s="2">
        <f t="shared" si="7"/>
        <v>16431000</v>
      </c>
      <c r="S111">
        <f t="shared" si="8"/>
        <v>0.89351056728257838</v>
      </c>
      <c r="T111">
        <f t="shared" si="9"/>
        <v>0.10648943271742159</v>
      </c>
    </row>
    <row r="112" spans="1:20" x14ac:dyDescent="0.25">
      <c r="A112" t="str">
        <f t="shared" si="5"/>
        <v>July</v>
      </c>
      <c r="B112" s="5">
        <f t="shared" si="6"/>
        <v>43672</v>
      </c>
      <c r="C112">
        <v>2019</v>
      </c>
      <c r="D112">
        <v>7</v>
      </c>
      <c r="E112">
        <v>26</v>
      </c>
      <c r="F112" s="2">
        <v>146342000</v>
      </c>
      <c r="G112" s="2">
        <v>145750000</v>
      </c>
      <c r="H112" s="2">
        <v>131169000</v>
      </c>
      <c r="I112" s="2">
        <v>74455000</v>
      </c>
      <c r="J112" s="2">
        <v>56714000</v>
      </c>
      <c r="K112" s="2">
        <v>528394000</v>
      </c>
      <c r="L112" s="2">
        <v>106240000</v>
      </c>
      <c r="M112" s="3">
        <v>291.18</v>
      </c>
      <c r="N112" s="4">
        <v>2741</v>
      </c>
      <c r="O112" s="2">
        <v>89657000</v>
      </c>
      <c r="P112" s="3">
        <v>258.95999999999998</v>
      </c>
      <c r="Q112" s="4">
        <v>2888</v>
      </c>
      <c r="R112" s="2">
        <f t="shared" si="7"/>
        <v>15173000</v>
      </c>
      <c r="S112">
        <f t="shared" si="8"/>
        <v>0.89631821349988383</v>
      </c>
      <c r="T112">
        <f t="shared" si="9"/>
        <v>0.10368178650011617</v>
      </c>
    </row>
    <row r="113" spans="1:20" x14ac:dyDescent="0.25">
      <c r="A113" t="str">
        <f t="shared" si="5"/>
        <v>July</v>
      </c>
      <c r="B113" s="5">
        <f t="shared" si="6"/>
        <v>43665</v>
      </c>
      <c r="C113">
        <v>2019</v>
      </c>
      <c r="D113">
        <v>7</v>
      </c>
      <c r="E113">
        <v>19</v>
      </c>
      <c r="F113" s="2">
        <v>145941000</v>
      </c>
      <c r="G113" s="2">
        <v>145191000</v>
      </c>
      <c r="H113" s="2">
        <v>130882000</v>
      </c>
      <c r="I113" s="2">
        <v>74206000</v>
      </c>
      <c r="J113" s="2">
        <v>56676000</v>
      </c>
      <c r="K113" s="2">
        <v>522468000</v>
      </c>
      <c r="L113" s="2">
        <v>105933000</v>
      </c>
      <c r="M113" s="3">
        <v>290.25</v>
      </c>
      <c r="N113" s="4">
        <v>2740</v>
      </c>
      <c r="O113" s="2">
        <v>89507000</v>
      </c>
      <c r="P113" s="3">
        <v>258.37</v>
      </c>
      <c r="Q113" s="4">
        <v>2887</v>
      </c>
      <c r="R113" s="2">
        <f t="shared" si="7"/>
        <v>15059000</v>
      </c>
      <c r="S113">
        <f t="shared" si="8"/>
        <v>0.89681446611987037</v>
      </c>
      <c r="T113">
        <f t="shared" si="9"/>
        <v>0.10318553388012965</v>
      </c>
    </row>
    <row r="114" spans="1:20" x14ac:dyDescent="0.25">
      <c r="A114" t="str">
        <f t="shared" si="5"/>
        <v>July</v>
      </c>
      <c r="B114" s="5">
        <f t="shared" si="6"/>
        <v>43658</v>
      </c>
      <c r="C114">
        <v>2019</v>
      </c>
      <c r="D114">
        <v>7</v>
      </c>
      <c r="E114">
        <v>12</v>
      </c>
      <c r="F114" s="2">
        <v>145678000</v>
      </c>
      <c r="G114" s="2">
        <v>144789000</v>
      </c>
      <c r="H114" s="2">
        <v>130725000</v>
      </c>
      <c r="I114" s="2">
        <v>74073000</v>
      </c>
      <c r="J114" s="2">
        <v>56652000</v>
      </c>
      <c r="K114" s="2">
        <v>516311000</v>
      </c>
      <c r="L114" s="2">
        <v>105635000</v>
      </c>
      <c r="M114" s="3">
        <v>289.31</v>
      </c>
      <c r="N114" s="4">
        <v>2739</v>
      </c>
      <c r="O114" s="2">
        <v>89346000</v>
      </c>
      <c r="P114" s="3">
        <v>257.77</v>
      </c>
      <c r="Q114" s="4">
        <v>2885</v>
      </c>
      <c r="R114" s="2">
        <f t="shared" si="7"/>
        <v>14953000</v>
      </c>
      <c r="S114">
        <f t="shared" si="8"/>
        <v>0.89735581213360971</v>
      </c>
      <c r="T114">
        <f t="shared" si="9"/>
        <v>0.10264418786639026</v>
      </c>
    </row>
    <row r="115" spans="1:20" x14ac:dyDescent="0.25">
      <c r="A115" t="str">
        <f t="shared" si="5"/>
        <v>July</v>
      </c>
      <c r="B115" s="5">
        <f t="shared" si="6"/>
        <v>43651</v>
      </c>
      <c r="C115">
        <v>2019</v>
      </c>
      <c r="D115">
        <v>7</v>
      </c>
      <c r="E115">
        <v>5</v>
      </c>
      <c r="F115" s="2">
        <v>145303000</v>
      </c>
      <c r="G115" s="2">
        <v>144306000</v>
      </c>
      <c r="H115" s="2">
        <v>130488000</v>
      </c>
      <c r="I115" s="2">
        <v>73870000</v>
      </c>
      <c r="J115" s="2">
        <v>56618000</v>
      </c>
      <c r="K115" s="2">
        <v>510093000</v>
      </c>
      <c r="L115" s="2">
        <v>105268000</v>
      </c>
      <c r="M115" s="3">
        <v>288.07</v>
      </c>
      <c r="N115" s="4">
        <v>2737</v>
      </c>
      <c r="O115" s="2">
        <v>89152000</v>
      </c>
      <c r="P115" s="3">
        <v>257</v>
      </c>
      <c r="Q115" s="4">
        <v>2883</v>
      </c>
      <c r="R115" s="2">
        <f t="shared" si="7"/>
        <v>14815000</v>
      </c>
      <c r="S115">
        <f t="shared" si="8"/>
        <v>0.89804064609815348</v>
      </c>
      <c r="T115">
        <f t="shared" si="9"/>
        <v>0.10195935390184649</v>
      </c>
    </row>
    <row r="116" spans="1:20" x14ac:dyDescent="0.25">
      <c r="A116" t="str">
        <f t="shared" si="5"/>
        <v>June</v>
      </c>
      <c r="B116" s="5">
        <f t="shared" si="6"/>
        <v>43644</v>
      </c>
      <c r="C116">
        <v>2019</v>
      </c>
      <c r="D116">
        <v>6</v>
      </c>
      <c r="E116">
        <v>28</v>
      </c>
      <c r="F116" s="2">
        <v>144990000</v>
      </c>
      <c r="G116" s="2">
        <v>143765000</v>
      </c>
      <c r="H116" s="2">
        <v>130292000</v>
      </c>
      <c r="I116" s="2">
        <v>73706000</v>
      </c>
      <c r="J116" s="2">
        <v>56586000</v>
      </c>
      <c r="K116" s="2">
        <v>504950000</v>
      </c>
      <c r="L116" s="2">
        <v>104959000</v>
      </c>
      <c r="M116" s="3">
        <v>287.2</v>
      </c>
      <c r="N116" s="4">
        <v>2736</v>
      </c>
      <c r="O116" s="2">
        <v>89124000</v>
      </c>
      <c r="P116" s="3">
        <v>256.89999999999998</v>
      </c>
      <c r="Q116" s="4">
        <v>2883</v>
      </c>
      <c r="R116" s="2">
        <f t="shared" si="7"/>
        <v>14698000</v>
      </c>
      <c r="S116">
        <f t="shared" si="8"/>
        <v>0.89862749155114141</v>
      </c>
      <c r="T116">
        <f t="shared" si="9"/>
        <v>0.10137250844885855</v>
      </c>
    </row>
    <row r="117" spans="1:20" x14ac:dyDescent="0.25">
      <c r="A117" t="str">
        <f t="shared" si="5"/>
        <v>June</v>
      </c>
      <c r="B117" s="5">
        <f t="shared" si="6"/>
        <v>43637</v>
      </c>
      <c r="C117">
        <v>2019</v>
      </c>
      <c r="D117">
        <v>6</v>
      </c>
      <c r="E117">
        <v>21</v>
      </c>
      <c r="F117" s="2">
        <v>144563000</v>
      </c>
      <c r="G117" s="2">
        <v>142877000</v>
      </c>
      <c r="H117" s="2">
        <v>130020000</v>
      </c>
      <c r="I117" s="2">
        <v>73471000</v>
      </c>
      <c r="J117" s="2">
        <v>56549000</v>
      </c>
      <c r="K117" s="2">
        <v>498273000</v>
      </c>
      <c r="L117" s="2">
        <v>104541000</v>
      </c>
      <c r="M117" s="3">
        <v>285.94</v>
      </c>
      <c r="N117" s="4">
        <v>2735</v>
      </c>
      <c r="O117" s="2">
        <v>88909000</v>
      </c>
      <c r="P117" s="3">
        <v>256.11</v>
      </c>
      <c r="Q117" s="4">
        <v>2881</v>
      </c>
      <c r="R117" s="2">
        <f t="shared" si="7"/>
        <v>14543000</v>
      </c>
      <c r="S117">
        <f t="shared" si="8"/>
        <v>0.89940026147769481</v>
      </c>
      <c r="T117">
        <f t="shared" si="9"/>
        <v>0.10059973852230515</v>
      </c>
    </row>
    <row r="118" spans="1:20" x14ac:dyDescent="0.25">
      <c r="A118" t="str">
        <f t="shared" si="5"/>
        <v>June</v>
      </c>
      <c r="B118" s="5">
        <f t="shared" si="6"/>
        <v>43630</v>
      </c>
      <c r="C118">
        <v>2019</v>
      </c>
      <c r="D118">
        <v>6</v>
      </c>
      <c r="E118">
        <v>14</v>
      </c>
      <c r="F118" s="2">
        <v>144125000</v>
      </c>
      <c r="G118" s="2">
        <v>141870000</v>
      </c>
      <c r="H118" s="2">
        <v>129721000</v>
      </c>
      <c r="I118" s="2">
        <v>73217000</v>
      </c>
      <c r="J118" s="2">
        <v>56504000</v>
      </c>
      <c r="K118" s="2">
        <v>491279000</v>
      </c>
      <c r="L118" s="2">
        <v>104452000</v>
      </c>
      <c r="M118" s="3">
        <v>285.58</v>
      </c>
      <c r="N118" s="4">
        <v>2734</v>
      </c>
      <c r="O118" s="2">
        <v>88629000</v>
      </c>
      <c r="P118" s="3">
        <v>255</v>
      </c>
      <c r="Q118" s="4">
        <v>2877</v>
      </c>
      <c r="R118" s="2">
        <f t="shared" si="7"/>
        <v>14404000</v>
      </c>
      <c r="S118">
        <f t="shared" si="8"/>
        <v>0.90005897658282741</v>
      </c>
      <c r="T118">
        <f t="shared" si="9"/>
        <v>9.9941023417172592E-2</v>
      </c>
    </row>
    <row r="119" spans="1:20" x14ac:dyDescent="0.25">
      <c r="A119" t="str">
        <f t="shared" si="5"/>
        <v>June</v>
      </c>
      <c r="B119" s="5">
        <f t="shared" si="6"/>
        <v>43623</v>
      </c>
      <c r="C119">
        <v>2019</v>
      </c>
      <c r="D119">
        <v>6</v>
      </c>
      <c r="E119">
        <v>7</v>
      </c>
      <c r="F119" s="2">
        <v>143650000</v>
      </c>
      <c r="G119" s="2">
        <v>140825000</v>
      </c>
      <c r="H119" s="2">
        <v>129387000</v>
      </c>
      <c r="I119" s="2">
        <v>72931000</v>
      </c>
      <c r="J119" s="2">
        <v>56456000</v>
      </c>
      <c r="K119" s="2">
        <v>483914000</v>
      </c>
      <c r="L119" s="2">
        <v>104047000</v>
      </c>
      <c r="M119" s="3">
        <v>284.35000000000002</v>
      </c>
      <c r="N119" s="4">
        <v>2733</v>
      </c>
      <c r="O119" s="2">
        <v>88426000</v>
      </c>
      <c r="P119" s="3">
        <v>254.24</v>
      </c>
      <c r="Q119" s="4">
        <v>2875</v>
      </c>
      <c r="R119" s="2">
        <f t="shared" si="7"/>
        <v>14263000</v>
      </c>
      <c r="S119">
        <f t="shared" si="8"/>
        <v>0.90071005917159763</v>
      </c>
      <c r="T119">
        <f t="shared" si="9"/>
        <v>9.9289940828402368E-2</v>
      </c>
    </row>
    <row r="120" spans="1:20" x14ac:dyDescent="0.25">
      <c r="A120" t="str">
        <f t="shared" si="5"/>
        <v>May</v>
      </c>
      <c r="B120" s="5">
        <f t="shared" si="6"/>
        <v>43616</v>
      </c>
      <c r="C120">
        <v>2019</v>
      </c>
      <c r="D120">
        <v>5</v>
      </c>
      <c r="E120">
        <v>31</v>
      </c>
      <c r="F120" s="2">
        <v>143166000</v>
      </c>
      <c r="G120" s="2">
        <v>139732000</v>
      </c>
      <c r="H120" s="2">
        <v>129052000</v>
      </c>
      <c r="I120" s="2">
        <v>72647000</v>
      </c>
      <c r="J120" s="2">
        <v>56405000</v>
      </c>
      <c r="K120" s="2">
        <v>476681000</v>
      </c>
      <c r="L120" s="2">
        <v>103576000</v>
      </c>
      <c r="M120" s="3">
        <v>282.82</v>
      </c>
      <c r="N120" s="4">
        <v>2730</v>
      </c>
      <c r="O120" s="2">
        <v>88141000</v>
      </c>
      <c r="P120" s="3">
        <v>253.15</v>
      </c>
      <c r="Q120" s="4">
        <v>2872</v>
      </c>
      <c r="R120" s="2">
        <f t="shared" si="7"/>
        <v>14114000</v>
      </c>
      <c r="S120">
        <f t="shared" si="8"/>
        <v>0.90141514046631188</v>
      </c>
      <c r="T120">
        <f t="shared" si="9"/>
        <v>9.858485953368816E-2</v>
      </c>
    </row>
    <row r="121" spans="1:20" x14ac:dyDescent="0.25">
      <c r="A121" t="str">
        <f t="shared" si="5"/>
        <v>May</v>
      </c>
      <c r="B121" s="5">
        <f t="shared" si="6"/>
        <v>43609</v>
      </c>
      <c r="C121">
        <v>2019</v>
      </c>
      <c r="D121">
        <v>5</v>
      </c>
      <c r="E121">
        <v>24</v>
      </c>
      <c r="F121" s="2">
        <v>142737000</v>
      </c>
      <c r="G121" s="2">
        <v>138803000</v>
      </c>
      <c r="H121" s="2">
        <v>128741000</v>
      </c>
      <c r="I121" s="2">
        <v>72389000</v>
      </c>
      <c r="J121" s="2">
        <v>56352000</v>
      </c>
      <c r="K121" s="2">
        <v>469696000</v>
      </c>
      <c r="L121" s="2">
        <v>103112000</v>
      </c>
      <c r="M121" s="3">
        <v>281.41000000000003</v>
      </c>
      <c r="N121" s="4">
        <v>2729</v>
      </c>
      <c r="O121" s="2">
        <v>87859000</v>
      </c>
      <c r="P121" s="3">
        <v>252.18</v>
      </c>
      <c r="Q121" s="4">
        <v>2870</v>
      </c>
      <c r="R121" s="2">
        <f t="shared" si="7"/>
        <v>13996000</v>
      </c>
      <c r="S121">
        <f t="shared" si="8"/>
        <v>0.90194553619594076</v>
      </c>
      <c r="T121">
        <f t="shared" si="9"/>
        <v>9.8054463804059216E-2</v>
      </c>
    </row>
    <row r="122" spans="1:20" x14ac:dyDescent="0.25">
      <c r="A122" t="str">
        <f t="shared" si="5"/>
        <v>May</v>
      </c>
      <c r="B122" s="5">
        <f t="shared" si="6"/>
        <v>43602</v>
      </c>
      <c r="C122">
        <v>2019</v>
      </c>
      <c r="D122">
        <v>5</v>
      </c>
      <c r="E122">
        <v>17</v>
      </c>
      <c r="F122" s="2">
        <v>142200000</v>
      </c>
      <c r="G122" s="2">
        <v>137633000</v>
      </c>
      <c r="H122" s="2">
        <v>128373000</v>
      </c>
      <c r="I122" s="2">
        <v>72084000</v>
      </c>
      <c r="J122" s="2">
        <v>56289000</v>
      </c>
      <c r="K122" s="2">
        <v>461982000</v>
      </c>
      <c r="L122" s="2">
        <v>102504000</v>
      </c>
      <c r="M122" s="3">
        <v>279.64999999999998</v>
      </c>
      <c r="N122" s="4">
        <v>2728</v>
      </c>
      <c r="O122" s="2">
        <v>87496000</v>
      </c>
      <c r="P122" s="3">
        <v>251</v>
      </c>
      <c r="Q122" s="4">
        <v>2869</v>
      </c>
      <c r="R122" s="2">
        <f t="shared" si="7"/>
        <v>13827000</v>
      </c>
      <c r="S122">
        <f t="shared" si="8"/>
        <v>0.90276371308016878</v>
      </c>
      <c r="T122">
        <f t="shared" si="9"/>
        <v>9.723628691983123E-2</v>
      </c>
    </row>
    <row r="123" spans="1:20" x14ac:dyDescent="0.25">
      <c r="A123" t="str">
        <f t="shared" si="5"/>
        <v>May</v>
      </c>
      <c r="B123" s="5">
        <f t="shared" si="6"/>
        <v>43595</v>
      </c>
      <c r="C123">
        <v>2019</v>
      </c>
      <c r="D123">
        <v>5</v>
      </c>
      <c r="E123">
        <v>10</v>
      </c>
      <c r="F123" s="2">
        <v>141567000</v>
      </c>
      <c r="G123" s="2">
        <v>136139000</v>
      </c>
      <c r="H123" s="2">
        <v>127939000</v>
      </c>
      <c r="I123" s="2">
        <v>71725000</v>
      </c>
      <c r="J123" s="2">
        <v>56214000</v>
      </c>
      <c r="K123" s="2">
        <v>453360000</v>
      </c>
      <c r="L123" s="2">
        <v>101590000</v>
      </c>
      <c r="M123" s="3">
        <v>277.26</v>
      </c>
      <c r="N123" s="4">
        <v>2729</v>
      </c>
      <c r="O123" s="2">
        <v>86965000</v>
      </c>
      <c r="P123" s="3">
        <v>249.43</v>
      </c>
      <c r="Q123" s="4">
        <v>2868</v>
      </c>
      <c r="R123" s="2">
        <f t="shared" si="7"/>
        <v>13628000</v>
      </c>
      <c r="S123">
        <f t="shared" si="8"/>
        <v>0.90373462742023214</v>
      </c>
      <c r="T123">
        <f t="shared" si="9"/>
        <v>9.6265372579767888E-2</v>
      </c>
    </row>
    <row r="124" spans="1:20" x14ac:dyDescent="0.25">
      <c r="A124" t="str">
        <f t="shared" si="5"/>
        <v>May</v>
      </c>
      <c r="B124" s="5">
        <f t="shared" si="6"/>
        <v>43588</v>
      </c>
      <c r="C124">
        <v>2019</v>
      </c>
      <c r="D124">
        <v>5</v>
      </c>
      <c r="E124">
        <v>3</v>
      </c>
      <c r="F124" s="2">
        <v>141001000</v>
      </c>
      <c r="G124" s="2">
        <v>134744000</v>
      </c>
      <c r="H124" s="2">
        <v>127513000</v>
      </c>
      <c r="I124" s="2">
        <v>71392000</v>
      </c>
      <c r="J124" s="2">
        <v>56121000</v>
      </c>
      <c r="K124" s="2">
        <v>444213000</v>
      </c>
      <c r="L124" s="2">
        <v>100430000</v>
      </c>
      <c r="M124" s="3">
        <v>274.33</v>
      </c>
      <c r="N124" s="4">
        <v>2732</v>
      </c>
      <c r="O124" s="2">
        <v>86320000</v>
      </c>
      <c r="P124" s="3">
        <v>247.62</v>
      </c>
      <c r="Q124" s="4">
        <v>2869</v>
      </c>
      <c r="R124" s="2">
        <f t="shared" si="7"/>
        <v>13488000</v>
      </c>
      <c r="S124">
        <f t="shared" si="8"/>
        <v>0.90434110396380163</v>
      </c>
      <c r="T124">
        <f t="shared" si="9"/>
        <v>9.5658896036198329E-2</v>
      </c>
    </row>
    <row r="125" spans="1:20" x14ac:dyDescent="0.25">
      <c r="A125" t="str">
        <f t="shared" si="5"/>
        <v>April</v>
      </c>
      <c r="B125" s="5">
        <f t="shared" si="6"/>
        <v>43581</v>
      </c>
      <c r="C125">
        <v>2019</v>
      </c>
      <c r="D125">
        <v>4</v>
      </c>
      <c r="E125">
        <v>26</v>
      </c>
      <c r="F125" s="2">
        <v>139364000</v>
      </c>
      <c r="G125" s="2">
        <v>132763000</v>
      </c>
      <c r="H125" s="2">
        <v>126961000</v>
      </c>
      <c r="I125" s="2">
        <v>70969000</v>
      </c>
      <c r="J125" s="2">
        <v>55992000</v>
      </c>
      <c r="K125" s="2">
        <v>433675000</v>
      </c>
      <c r="L125" s="2">
        <v>98952000</v>
      </c>
      <c r="M125" s="3">
        <v>270</v>
      </c>
      <c r="N125" s="4">
        <v>2729</v>
      </c>
      <c r="O125" s="2">
        <v>85456000</v>
      </c>
      <c r="P125" s="3">
        <v>244.81</v>
      </c>
      <c r="Q125" s="4">
        <v>2865</v>
      </c>
      <c r="R125" s="2">
        <f t="shared" si="7"/>
        <v>12403000</v>
      </c>
      <c r="S125">
        <f t="shared" si="8"/>
        <v>0.91100284147986565</v>
      </c>
      <c r="T125">
        <f t="shared" si="9"/>
        <v>8.8997158520134331E-2</v>
      </c>
    </row>
    <row r="126" spans="1:20" x14ac:dyDescent="0.25">
      <c r="A126" t="str">
        <f t="shared" si="5"/>
        <v>April</v>
      </c>
      <c r="B126" s="5">
        <f t="shared" si="6"/>
        <v>43574</v>
      </c>
      <c r="C126">
        <v>2019</v>
      </c>
      <c r="D126">
        <v>4</v>
      </c>
      <c r="E126">
        <v>19</v>
      </c>
      <c r="F126" s="2">
        <v>137233000</v>
      </c>
      <c r="G126" s="2">
        <v>130775000</v>
      </c>
      <c r="H126" s="2">
        <v>126264000</v>
      </c>
      <c r="I126" s="2">
        <v>70476000</v>
      </c>
      <c r="J126" s="2">
        <v>55788000</v>
      </c>
      <c r="K126" s="2">
        <v>421514000</v>
      </c>
      <c r="L126" s="2">
        <v>95737000</v>
      </c>
      <c r="M126" s="3">
        <v>260.92</v>
      </c>
      <c r="N126" s="4">
        <v>2725</v>
      </c>
      <c r="O126" s="2">
        <v>83249000</v>
      </c>
      <c r="P126" s="3">
        <v>238.38</v>
      </c>
      <c r="Q126" s="4">
        <v>2863</v>
      </c>
      <c r="R126" s="2">
        <f t="shared" si="7"/>
        <v>10969000</v>
      </c>
      <c r="S126">
        <f t="shared" si="8"/>
        <v>0.92007024549488825</v>
      </c>
      <c r="T126">
        <f t="shared" si="9"/>
        <v>7.992975450511175E-2</v>
      </c>
    </row>
    <row r="127" spans="1:20" x14ac:dyDescent="0.25">
      <c r="A127" t="str">
        <f t="shared" si="5"/>
        <v>April</v>
      </c>
      <c r="B127" s="5">
        <f t="shared" si="6"/>
        <v>43567</v>
      </c>
      <c r="C127">
        <v>2019</v>
      </c>
      <c r="D127">
        <v>4</v>
      </c>
      <c r="E127">
        <v>12</v>
      </c>
      <c r="F127" s="2">
        <v>119427000</v>
      </c>
      <c r="G127" s="2">
        <v>115742000</v>
      </c>
      <c r="H127" s="2">
        <v>111368000</v>
      </c>
      <c r="I127" s="2">
        <v>63248000</v>
      </c>
      <c r="J127" s="2">
        <v>48120000</v>
      </c>
      <c r="K127" s="2">
        <v>399465000</v>
      </c>
      <c r="L127" s="2">
        <v>84435000</v>
      </c>
      <c r="M127" s="3">
        <v>235.98</v>
      </c>
      <c r="N127" s="4">
        <v>2795</v>
      </c>
      <c r="O127" s="2">
        <v>74617000</v>
      </c>
      <c r="P127" s="3">
        <v>218.22</v>
      </c>
      <c r="Q127" s="4">
        <v>2924</v>
      </c>
      <c r="R127" s="2">
        <f t="shared" si="7"/>
        <v>8059000</v>
      </c>
      <c r="S127">
        <f t="shared" si="8"/>
        <v>0.93251944702621681</v>
      </c>
      <c r="T127">
        <f t="shared" si="9"/>
        <v>6.7480552973783151E-2</v>
      </c>
    </row>
    <row r="128" spans="1:20" x14ac:dyDescent="0.25">
      <c r="A128" t="str">
        <f t="shared" si="5"/>
        <v>April</v>
      </c>
      <c r="B128" s="5">
        <f t="shared" si="6"/>
        <v>43560</v>
      </c>
      <c r="C128">
        <v>2019</v>
      </c>
      <c r="D128">
        <v>4</v>
      </c>
      <c r="E128">
        <v>5</v>
      </c>
      <c r="F128" s="2">
        <v>103460000</v>
      </c>
      <c r="G128" s="2">
        <v>100572000</v>
      </c>
      <c r="H128" s="2">
        <v>96844000</v>
      </c>
      <c r="I128" s="2">
        <v>53839000</v>
      </c>
      <c r="J128" s="2">
        <v>43005000</v>
      </c>
      <c r="K128" s="2">
        <v>376700000</v>
      </c>
      <c r="L128" s="2">
        <v>77925000</v>
      </c>
      <c r="M128" s="3">
        <v>220.76</v>
      </c>
      <c r="N128" s="4">
        <v>2833</v>
      </c>
      <c r="O128" s="2">
        <v>69094000</v>
      </c>
      <c r="P128" s="3">
        <v>204.59</v>
      </c>
      <c r="Q128" s="4">
        <v>2961</v>
      </c>
      <c r="R128" s="2">
        <f t="shared" si="7"/>
        <v>6616000</v>
      </c>
      <c r="S128">
        <f t="shared" si="8"/>
        <v>0.93605258070751984</v>
      </c>
      <c r="T128">
        <f t="shared" si="9"/>
        <v>6.3947419292480184E-2</v>
      </c>
    </row>
    <row r="129" spans="1:20" x14ac:dyDescent="0.25">
      <c r="A129" t="str">
        <f t="shared" si="5"/>
        <v>March</v>
      </c>
      <c r="B129" s="5">
        <f t="shared" si="6"/>
        <v>43553</v>
      </c>
      <c r="C129">
        <v>2019</v>
      </c>
      <c r="D129">
        <v>3</v>
      </c>
      <c r="E129">
        <v>29</v>
      </c>
      <c r="F129" s="2">
        <v>92861000</v>
      </c>
      <c r="G129" s="2">
        <v>90280000</v>
      </c>
      <c r="H129" s="2">
        <v>87288000</v>
      </c>
      <c r="I129" s="2">
        <v>47430000</v>
      </c>
      <c r="J129" s="2">
        <v>39858000</v>
      </c>
      <c r="K129" s="2">
        <v>358112000</v>
      </c>
      <c r="L129" s="2">
        <v>71755000</v>
      </c>
      <c r="M129" s="3">
        <v>206.15</v>
      </c>
      <c r="N129" s="4">
        <v>2873</v>
      </c>
      <c r="O129" s="2">
        <v>64252000</v>
      </c>
      <c r="P129" s="3">
        <v>192.43</v>
      </c>
      <c r="Q129" s="4">
        <v>2995</v>
      </c>
      <c r="R129" s="2">
        <f t="shared" si="7"/>
        <v>5573000</v>
      </c>
      <c r="S129">
        <f t="shared" si="8"/>
        <v>0.93998556983017634</v>
      </c>
      <c r="T129">
        <f t="shared" si="9"/>
        <v>6.0014430169823718E-2</v>
      </c>
    </row>
    <row r="130" spans="1:20" x14ac:dyDescent="0.25">
      <c r="A130" t="str">
        <f t="shared" si="5"/>
        <v>March</v>
      </c>
      <c r="B130" s="5">
        <f t="shared" si="6"/>
        <v>43546</v>
      </c>
      <c r="C130">
        <v>2019</v>
      </c>
      <c r="D130">
        <v>3</v>
      </c>
      <c r="E130">
        <v>22</v>
      </c>
      <c r="F130" s="2">
        <v>84075000</v>
      </c>
      <c r="G130" s="2">
        <v>81562000</v>
      </c>
      <c r="H130" s="2">
        <v>79236000</v>
      </c>
      <c r="I130" s="2">
        <v>41911000</v>
      </c>
      <c r="J130" s="2">
        <v>37325000</v>
      </c>
      <c r="K130" s="2">
        <v>339939000</v>
      </c>
      <c r="L130" s="2">
        <v>65836000</v>
      </c>
      <c r="M130" s="3">
        <v>191.89</v>
      </c>
      <c r="N130" s="4">
        <v>2915</v>
      </c>
      <c r="O130" s="2">
        <v>59521000</v>
      </c>
      <c r="P130" s="3">
        <v>180.35</v>
      </c>
      <c r="Q130" s="4">
        <v>3030</v>
      </c>
      <c r="R130" s="2">
        <f t="shared" si="7"/>
        <v>4839000</v>
      </c>
      <c r="S130">
        <f t="shared" si="8"/>
        <v>0.94244424620874223</v>
      </c>
      <c r="T130">
        <f t="shared" si="9"/>
        <v>5.7555753791257803E-2</v>
      </c>
    </row>
    <row r="131" spans="1:20" x14ac:dyDescent="0.25">
      <c r="A131" t="str">
        <f t="shared" si="5"/>
        <v>March</v>
      </c>
      <c r="B131" s="5">
        <f t="shared" si="6"/>
        <v>43539</v>
      </c>
      <c r="C131">
        <v>2019</v>
      </c>
      <c r="D131">
        <v>3</v>
      </c>
      <c r="E131">
        <v>15</v>
      </c>
      <c r="F131" s="2">
        <v>75881000</v>
      </c>
      <c r="G131" s="2">
        <v>73528000</v>
      </c>
      <c r="H131" s="2">
        <v>71815000</v>
      </c>
      <c r="I131" s="2">
        <v>36868000</v>
      </c>
      <c r="J131" s="2">
        <v>34947000</v>
      </c>
      <c r="K131" s="2">
        <v>320712000</v>
      </c>
      <c r="L131" s="2">
        <v>59916000</v>
      </c>
      <c r="M131" s="3">
        <v>177.19</v>
      </c>
      <c r="N131" s="4">
        <v>2957</v>
      </c>
      <c r="O131" s="2">
        <v>54683000</v>
      </c>
      <c r="P131" s="3">
        <v>167.63</v>
      </c>
      <c r="Q131" s="4">
        <v>3065</v>
      </c>
      <c r="R131" s="2">
        <f t="shared" si="7"/>
        <v>4066000</v>
      </c>
      <c r="S131">
        <f t="shared" si="8"/>
        <v>0.94641609889168565</v>
      </c>
      <c r="T131">
        <f t="shared" si="9"/>
        <v>5.3583901108314333E-2</v>
      </c>
    </row>
    <row r="132" spans="1:20" x14ac:dyDescent="0.25">
      <c r="A132" t="str">
        <f t="shared" si="5"/>
        <v>March</v>
      </c>
      <c r="B132" s="5">
        <f t="shared" si="6"/>
        <v>43532</v>
      </c>
      <c r="C132">
        <v>2019</v>
      </c>
      <c r="D132">
        <v>3</v>
      </c>
      <c r="E132">
        <v>8</v>
      </c>
      <c r="F132" s="2">
        <v>67721000</v>
      </c>
      <c r="G132" s="2">
        <v>65314000</v>
      </c>
      <c r="H132" s="2">
        <v>64299000</v>
      </c>
      <c r="I132" s="2">
        <v>31942000</v>
      </c>
      <c r="J132" s="2">
        <v>32357000</v>
      </c>
      <c r="K132" s="2">
        <v>298601000</v>
      </c>
      <c r="L132" s="2">
        <v>53487000</v>
      </c>
      <c r="M132" s="3">
        <v>160.87</v>
      </c>
      <c r="N132" s="4">
        <v>3008</v>
      </c>
      <c r="O132" s="2">
        <v>49320000</v>
      </c>
      <c r="P132" s="3">
        <v>153.26</v>
      </c>
      <c r="Q132" s="4">
        <v>3107</v>
      </c>
      <c r="R132" s="2">
        <f t="shared" si="7"/>
        <v>3422000</v>
      </c>
      <c r="S132">
        <f t="shared" si="8"/>
        <v>0.94946914546447925</v>
      </c>
      <c r="T132">
        <f t="shared" si="9"/>
        <v>5.0530854535520739E-2</v>
      </c>
    </row>
    <row r="133" spans="1:20" x14ac:dyDescent="0.25">
      <c r="A133" t="str">
        <f t="shared" ref="A133:A196" si="10">TEXT(B133,"mmmm")</f>
        <v>March</v>
      </c>
      <c r="B133" s="5">
        <f t="shared" ref="B133:B196" si="11">DATE(C133,D133,E133)</f>
        <v>43525</v>
      </c>
      <c r="C133">
        <v>2019</v>
      </c>
      <c r="D133">
        <v>3</v>
      </c>
      <c r="E133">
        <v>1</v>
      </c>
      <c r="F133" s="2">
        <v>59223000</v>
      </c>
      <c r="G133" s="2">
        <v>56875000</v>
      </c>
      <c r="H133" s="2">
        <v>56494000</v>
      </c>
      <c r="I133" s="2">
        <v>27017000</v>
      </c>
      <c r="J133" s="2">
        <v>29477000</v>
      </c>
      <c r="K133" s="2">
        <v>272602000</v>
      </c>
      <c r="L133" s="2">
        <v>46416000</v>
      </c>
      <c r="M133" s="3">
        <v>142.4</v>
      </c>
      <c r="N133" s="4">
        <v>3068</v>
      </c>
      <c r="O133" s="2">
        <v>43241000</v>
      </c>
      <c r="P133" s="3">
        <v>136.6</v>
      </c>
      <c r="Q133" s="4">
        <v>3159</v>
      </c>
      <c r="R133" s="2">
        <f t="shared" ref="R133:R196" si="12">F133-H133</f>
        <v>2729000</v>
      </c>
      <c r="S133">
        <f t="shared" ref="S133:S196" si="13">H133/F133</f>
        <v>0.95391992975702011</v>
      </c>
      <c r="T133">
        <f t="shared" ref="T133:T196" si="14">R133/F133</f>
        <v>4.6080070242979922E-2</v>
      </c>
    </row>
    <row r="134" spans="1:20" x14ac:dyDescent="0.25">
      <c r="A134" t="str">
        <f t="shared" si="10"/>
        <v>February</v>
      </c>
      <c r="B134" s="5">
        <f t="shared" si="11"/>
        <v>43518</v>
      </c>
      <c r="C134">
        <v>2019</v>
      </c>
      <c r="D134">
        <v>2</v>
      </c>
      <c r="E134">
        <v>22</v>
      </c>
      <c r="F134" s="2">
        <v>49923000</v>
      </c>
      <c r="G134" s="2">
        <v>47700000</v>
      </c>
      <c r="H134" s="2">
        <v>47866000</v>
      </c>
      <c r="I134" s="2">
        <v>21869000</v>
      </c>
      <c r="J134" s="2">
        <v>25997000</v>
      </c>
      <c r="K134" s="2">
        <v>232545000</v>
      </c>
      <c r="L134" s="2">
        <v>38566000</v>
      </c>
      <c r="M134" s="3">
        <v>121.2</v>
      </c>
      <c r="N134" s="4">
        <v>3143</v>
      </c>
      <c r="O134" s="2">
        <v>36329000</v>
      </c>
      <c r="P134" s="3">
        <v>117.19</v>
      </c>
      <c r="Q134" s="4">
        <v>3226</v>
      </c>
      <c r="R134" s="2">
        <f t="shared" si="12"/>
        <v>2057000</v>
      </c>
      <c r="S134">
        <f t="shared" si="13"/>
        <v>0.95879654668189007</v>
      </c>
      <c r="T134">
        <f t="shared" si="14"/>
        <v>4.1203453318109887E-2</v>
      </c>
    </row>
    <row r="135" spans="1:20" x14ac:dyDescent="0.25">
      <c r="A135" t="str">
        <f t="shared" si="10"/>
        <v>February</v>
      </c>
      <c r="B135" s="5">
        <f t="shared" si="11"/>
        <v>43511</v>
      </c>
      <c r="C135">
        <v>2019</v>
      </c>
      <c r="D135">
        <v>2</v>
      </c>
      <c r="E135">
        <v>15</v>
      </c>
      <c r="F135" s="2">
        <v>39747000</v>
      </c>
      <c r="G135" s="2">
        <v>37810000</v>
      </c>
      <c r="H135" s="2">
        <v>38357000</v>
      </c>
      <c r="I135" s="2">
        <v>16583000</v>
      </c>
      <c r="J135" s="2">
        <v>21774000</v>
      </c>
      <c r="K135" s="2">
        <v>161706000</v>
      </c>
      <c r="L135" s="2">
        <v>23485000</v>
      </c>
      <c r="M135" s="3">
        <v>61.99</v>
      </c>
      <c r="N135" s="4">
        <v>2640</v>
      </c>
      <c r="O135" s="2">
        <v>22141000</v>
      </c>
      <c r="P135" s="3">
        <v>59.85</v>
      </c>
      <c r="Q135" s="4">
        <v>2703</v>
      </c>
      <c r="R135" s="2">
        <f t="shared" si="12"/>
        <v>1390000</v>
      </c>
      <c r="S135">
        <f t="shared" si="13"/>
        <v>0.96502880720557527</v>
      </c>
      <c r="T135">
        <f t="shared" si="14"/>
        <v>3.4971192794424739E-2</v>
      </c>
    </row>
    <row r="136" spans="1:20" x14ac:dyDescent="0.25">
      <c r="A136" t="str">
        <f t="shared" si="10"/>
        <v>February</v>
      </c>
      <c r="B136" s="5">
        <f t="shared" si="11"/>
        <v>43504</v>
      </c>
      <c r="C136">
        <v>2019</v>
      </c>
      <c r="D136">
        <v>2</v>
      </c>
      <c r="E136">
        <v>8</v>
      </c>
      <c r="F136" s="2">
        <v>28764000</v>
      </c>
      <c r="G136" s="2">
        <v>26965000</v>
      </c>
      <c r="H136" s="2">
        <v>27602000</v>
      </c>
      <c r="I136" s="2">
        <v>11001000</v>
      </c>
      <c r="J136" s="2">
        <v>16601000</v>
      </c>
      <c r="K136" s="2">
        <v>106390000</v>
      </c>
      <c r="L136" s="2">
        <v>11381000</v>
      </c>
      <c r="M136" s="3">
        <v>22.18</v>
      </c>
      <c r="N136" s="4">
        <v>1949</v>
      </c>
      <c r="O136" s="2">
        <v>10790000</v>
      </c>
      <c r="P136" s="3">
        <v>21.53</v>
      </c>
      <c r="Q136" s="4">
        <v>1996</v>
      </c>
      <c r="R136" s="2">
        <f t="shared" si="12"/>
        <v>1162000</v>
      </c>
      <c r="S136">
        <f t="shared" si="13"/>
        <v>0.95960228062856345</v>
      </c>
      <c r="T136">
        <f t="shared" si="14"/>
        <v>4.0397719371436519E-2</v>
      </c>
    </row>
    <row r="137" spans="1:20" x14ac:dyDescent="0.25">
      <c r="A137" t="str">
        <f t="shared" si="10"/>
        <v>February</v>
      </c>
      <c r="B137" s="5">
        <f t="shared" si="11"/>
        <v>43497</v>
      </c>
      <c r="C137">
        <v>2019</v>
      </c>
      <c r="D137">
        <v>2</v>
      </c>
      <c r="E137">
        <v>1</v>
      </c>
      <c r="F137" s="2">
        <v>16035000</v>
      </c>
      <c r="G137" s="2">
        <v>13306000</v>
      </c>
      <c r="H137" s="2">
        <v>15222000</v>
      </c>
      <c r="I137" s="2">
        <v>5440000</v>
      </c>
      <c r="J137" s="2">
        <v>9782000</v>
      </c>
      <c r="K137" s="2">
        <v>66310000</v>
      </c>
      <c r="L137" s="2">
        <v>4672000</v>
      </c>
      <c r="M137" s="3">
        <v>8.7100000000000009</v>
      </c>
      <c r="N137" s="4">
        <v>1865</v>
      </c>
      <c r="O137" s="2">
        <v>4476000</v>
      </c>
      <c r="P137" s="3">
        <v>8.51</v>
      </c>
      <c r="Q137" s="4">
        <v>1901</v>
      </c>
      <c r="R137" s="2">
        <f t="shared" si="12"/>
        <v>813000</v>
      </c>
      <c r="S137">
        <f t="shared" si="13"/>
        <v>0.94929840972871837</v>
      </c>
      <c r="T137">
        <f t="shared" si="14"/>
        <v>5.0701590271281571E-2</v>
      </c>
    </row>
    <row r="138" spans="1:20" x14ac:dyDescent="0.25">
      <c r="A138" t="str">
        <f t="shared" si="10"/>
        <v>December</v>
      </c>
      <c r="B138" s="5">
        <f t="shared" si="11"/>
        <v>43462</v>
      </c>
      <c r="C138">
        <v>2018</v>
      </c>
      <c r="D138">
        <v>12</v>
      </c>
      <c r="E138">
        <v>28</v>
      </c>
      <c r="F138" s="2">
        <v>154865000</v>
      </c>
      <c r="G138" s="2">
        <v>154539000</v>
      </c>
      <c r="H138" s="2">
        <v>135459000</v>
      </c>
      <c r="I138" s="2">
        <v>80286000</v>
      </c>
      <c r="J138" s="2">
        <v>55173000</v>
      </c>
      <c r="K138" s="2">
        <v>611580000</v>
      </c>
      <c r="L138" s="2">
        <v>112154000</v>
      </c>
      <c r="M138" s="3">
        <v>326.33</v>
      </c>
      <c r="N138" s="4">
        <v>2910</v>
      </c>
      <c r="O138" s="2">
        <v>90164000</v>
      </c>
      <c r="P138" s="3">
        <v>273.7</v>
      </c>
      <c r="Q138" s="4">
        <v>3036</v>
      </c>
      <c r="R138" s="2">
        <f t="shared" si="12"/>
        <v>19406000</v>
      </c>
      <c r="S138">
        <f t="shared" si="13"/>
        <v>0.87469085978109962</v>
      </c>
      <c r="T138">
        <f t="shared" si="14"/>
        <v>0.12530914021890033</v>
      </c>
    </row>
    <row r="139" spans="1:20" x14ac:dyDescent="0.25">
      <c r="A139" t="str">
        <f t="shared" si="10"/>
        <v>November</v>
      </c>
      <c r="B139" s="5">
        <f t="shared" si="11"/>
        <v>43427</v>
      </c>
      <c r="C139">
        <v>2018</v>
      </c>
      <c r="D139">
        <v>11</v>
      </c>
      <c r="E139">
        <v>23</v>
      </c>
      <c r="F139" s="2">
        <v>154444000</v>
      </c>
      <c r="G139" s="2">
        <v>154058000</v>
      </c>
      <c r="H139" s="2">
        <v>135459000</v>
      </c>
      <c r="I139" s="2">
        <v>80286000</v>
      </c>
      <c r="J139" s="2">
        <v>55173000</v>
      </c>
      <c r="K139" s="2">
        <v>585027000</v>
      </c>
      <c r="L139" s="2">
        <v>111911000</v>
      </c>
      <c r="M139" s="3">
        <v>324.43</v>
      </c>
      <c r="N139" s="4">
        <v>2899</v>
      </c>
      <c r="O139" s="2">
        <v>90067000</v>
      </c>
      <c r="P139" s="3">
        <v>272.98</v>
      </c>
      <c r="Q139" s="4">
        <v>3031</v>
      </c>
      <c r="R139" s="2">
        <f t="shared" si="12"/>
        <v>18985000</v>
      </c>
      <c r="S139">
        <f t="shared" si="13"/>
        <v>0.87707518582787292</v>
      </c>
      <c r="T139">
        <f t="shared" si="14"/>
        <v>0.12292481417212711</v>
      </c>
    </row>
    <row r="140" spans="1:20" x14ac:dyDescent="0.25">
      <c r="A140" t="str">
        <f t="shared" si="10"/>
        <v>October</v>
      </c>
      <c r="B140" s="5">
        <f t="shared" si="11"/>
        <v>43392</v>
      </c>
      <c r="C140">
        <v>2018</v>
      </c>
      <c r="D140">
        <v>10</v>
      </c>
      <c r="E140">
        <v>19</v>
      </c>
      <c r="F140" s="2">
        <v>153383000</v>
      </c>
      <c r="G140" s="2">
        <v>152827000</v>
      </c>
      <c r="H140" s="2">
        <v>135154000</v>
      </c>
      <c r="I140" s="2">
        <v>79990000</v>
      </c>
      <c r="J140" s="2">
        <v>55164000</v>
      </c>
      <c r="K140" s="2">
        <v>559158000</v>
      </c>
      <c r="L140" s="2">
        <v>110806000</v>
      </c>
      <c r="M140" s="3">
        <v>312.97000000000003</v>
      </c>
      <c r="N140" s="4">
        <v>2825</v>
      </c>
      <c r="O140" s="2">
        <v>89537000</v>
      </c>
      <c r="P140" s="3">
        <v>267.8</v>
      </c>
      <c r="Q140" s="4">
        <v>2991</v>
      </c>
      <c r="R140" s="2">
        <f t="shared" si="12"/>
        <v>18229000</v>
      </c>
      <c r="S140">
        <f t="shared" si="13"/>
        <v>0.88115371325375047</v>
      </c>
      <c r="T140">
        <f t="shared" si="14"/>
        <v>0.11884628674624959</v>
      </c>
    </row>
    <row r="141" spans="1:20" x14ac:dyDescent="0.25">
      <c r="A141" t="str">
        <f t="shared" si="10"/>
        <v>August</v>
      </c>
      <c r="B141" s="5">
        <f t="shared" si="11"/>
        <v>43343</v>
      </c>
      <c r="C141">
        <v>2018</v>
      </c>
      <c r="D141">
        <v>8</v>
      </c>
      <c r="E141">
        <v>31</v>
      </c>
      <c r="F141" s="2">
        <v>147358000</v>
      </c>
      <c r="G141" s="2">
        <v>147058000</v>
      </c>
      <c r="H141" s="2">
        <v>129931000</v>
      </c>
      <c r="I141" s="2">
        <v>75423000</v>
      </c>
      <c r="J141" s="2">
        <v>54508000</v>
      </c>
      <c r="K141" s="2">
        <v>520207937</v>
      </c>
      <c r="L141" s="2">
        <v>108757000</v>
      </c>
      <c r="M141" s="3">
        <v>303.76</v>
      </c>
      <c r="N141" s="4">
        <v>2793</v>
      </c>
      <c r="O141" s="2">
        <v>88494000</v>
      </c>
      <c r="P141" s="3">
        <v>262.38</v>
      </c>
      <c r="Q141" s="4">
        <v>2965</v>
      </c>
      <c r="R141" s="2">
        <f t="shared" si="12"/>
        <v>17427000</v>
      </c>
      <c r="S141">
        <f t="shared" si="13"/>
        <v>0.88173699425887975</v>
      </c>
      <c r="T141">
        <f t="shared" si="14"/>
        <v>0.11826300574112027</v>
      </c>
    </row>
    <row r="142" spans="1:20" x14ac:dyDescent="0.25">
      <c r="A142" t="str">
        <f t="shared" si="10"/>
        <v>May</v>
      </c>
      <c r="B142" s="5">
        <f t="shared" si="11"/>
        <v>43231</v>
      </c>
      <c r="C142">
        <v>2018</v>
      </c>
      <c r="D142">
        <v>5</v>
      </c>
      <c r="E142">
        <v>11</v>
      </c>
      <c r="F142" s="2">
        <v>141531000</v>
      </c>
      <c r="G142" s="2">
        <v>135883000</v>
      </c>
      <c r="H142" s="2">
        <v>126040000</v>
      </c>
      <c r="I142" s="2">
        <v>72111000</v>
      </c>
      <c r="J142" s="2">
        <v>53929000</v>
      </c>
      <c r="K142" s="2">
        <v>419004000</v>
      </c>
      <c r="L142" s="2">
        <v>102582000</v>
      </c>
      <c r="M142" s="3">
        <v>284.93</v>
      </c>
      <c r="N142" s="4">
        <v>2778</v>
      </c>
      <c r="O142" s="2">
        <v>85297000</v>
      </c>
      <c r="P142" s="3">
        <v>250.73</v>
      </c>
      <c r="Q142" s="4">
        <v>2940</v>
      </c>
      <c r="R142" s="2">
        <f t="shared" si="12"/>
        <v>15491000</v>
      </c>
      <c r="S142">
        <f t="shared" si="13"/>
        <v>0.89054694731189632</v>
      </c>
      <c r="T142">
        <f t="shared" si="14"/>
        <v>0.10945305268810367</v>
      </c>
    </row>
    <row r="143" spans="1:20" x14ac:dyDescent="0.25">
      <c r="A143" t="str">
        <f t="shared" si="10"/>
        <v>May</v>
      </c>
      <c r="B143" s="5">
        <f t="shared" si="11"/>
        <v>43224</v>
      </c>
      <c r="C143">
        <v>2018</v>
      </c>
      <c r="D143">
        <v>5</v>
      </c>
      <c r="E143">
        <v>4</v>
      </c>
      <c r="F143" s="2">
        <v>140895000</v>
      </c>
      <c r="G143" s="2">
        <v>134268000</v>
      </c>
      <c r="H143" s="2">
        <v>125637000</v>
      </c>
      <c r="I143" s="2">
        <v>71788000</v>
      </c>
      <c r="J143" s="2">
        <v>53849000</v>
      </c>
      <c r="K143" s="2">
        <v>410052000</v>
      </c>
      <c r="L143" s="2">
        <v>101372000</v>
      </c>
      <c r="M143" s="3">
        <v>281.51</v>
      </c>
      <c r="N143" s="4">
        <v>2777</v>
      </c>
      <c r="O143" s="2">
        <v>84632000</v>
      </c>
      <c r="P143" s="3">
        <v>248.63</v>
      </c>
      <c r="Q143" s="4">
        <v>2938</v>
      </c>
      <c r="R143" s="2">
        <f t="shared" si="12"/>
        <v>15258000</v>
      </c>
      <c r="S143">
        <f t="shared" si="13"/>
        <v>0.89170659001384012</v>
      </c>
      <c r="T143">
        <f t="shared" si="14"/>
        <v>0.10829340998615991</v>
      </c>
    </row>
    <row r="144" spans="1:20" x14ac:dyDescent="0.25">
      <c r="A144" t="str">
        <f t="shared" si="10"/>
        <v>April</v>
      </c>
      <c r="B144" s="5">
        <f t="shared" si="11"/>
        <v>43217</v>
      </c>
      <c r="C144">
        <v>2018</v>
      </c>
      <c r="D144">
        <v>4</v>
      </c>
      <c r="E144">
        <v>27</v>
      </c>
      <c r="F144" s="2">
        <v>139903000</v>
      </c>
      <c r="G144" s="2">
        <v>132550000</v>
      </c>
      <c r="H144" s="2">
        <v>125161000</v>
      </c>
      <c r="I144" s="2">
        <v>71425000</v>
      </c>
      <c r="J144" s="2">
        <v>53736000</v>
      </c>
      <c r="K144" s="2">
        <v>399502000</v>
      </c>
      <c r="L144" s="2">
        <v>99511000</v>
      </c>
      <c r="M144" s="3">
        <v>275.73</v>
      </c>
      <c r="N144" s="4">
        <v>2771</v>
      </c>
      <c r="O144" s="2">
        <v>83458000</v>
      </c>
      <c r="P144" s="3">
        <v>244.69</v>
      </c>
      <c r="Q144" s="4">
        <v>2932</v>
      </c>
      <c r="R144" s="2">
        <f t="shared" si="12"/>
        <v>14742000</v>
      </c>
      <c r="S144">
        <f t="shared" si="13"/>
        <v>0.89462699155843695</v>
      </c>
      <c r="T144">
        <f t="shared" si="14"/>
        <v>0.10537300844156308</v>
      </c>
    </row>
    <row r="145" spans="1:20" x14ac:dyDescent="0.25">
      <c r="A145" t="str">
        <f t="shared" si="10"/>
        <v>April</v>
      </c>
      <c r="B145" s="5">
        <f t="shared" si="11"/>
        <v>43210</v>
      </c>
      <c r="C145">
        <v>2018</v>
      </c>
      <c r="D145">
        <v>4</v>
      </c>
      <c r="E145">
        <v>20</v>
      </c>
      <c r="F145" s="2">
        <v>136919000</v>
      </c>
      <c r="G145" s="2">
        <v>130477000</v>
      </c>
      <c r="H145" s="2">
        <v>124515000</v>
      </c>
      <c r="I145" s="2">
        <v>70983000</v>
      </c>
      <c r="J145" s="2">
        <v>53532000</v>
      </c>
      <c r="K145" s="2">
        <v>386895000</v>
      </c>
      <c r="L145" s="2">
        <v>95434000</v>
      </c>
      <c r="M145" s="3">
        <v>265.33</v>
      </c>
      <c r="N145" s="4">
        <v>2780</v>
      </c>
      <c r="O145" s="2">
        <v>80491000</v>
      </c>
      <c r="P145" s="3">
        <v>236.85</v>
      </c>
      <c r="Q145" s="4">
        <v>2943</v>
      </c>
      <c r="R145" s="2">
        <f t="shared" si="12"/>
        <v>12404000</v>
      </c>
      <c r="S145">
        <f t="shared" si="13"/>
        <v>0.9094062913109211</v>
      </c>
      <c r="T145">
        <f t="shared" si="14"/>
        <v>9.0593708689078942E-2</v>
      </c>
    </row>
    <row r="146" spans="1:20" x14ac:dyDescent="0.25">
      <c r="A146" t="str">
        <f t="shared" si="10"/>
        <v>April</v>
      </c>
      <c r="B146" s="5">
        <f t="shared" si="11"/>
        <v>43203</v>
      </c>
      <c r="C146">
        <v>2018</v>
      </c>
      <c r="D146">
        <v>4</v>
      </c>
      <c r="E146">
        <v>13</v>
      </c>
      <c r="F146" s="2">
        <v>118580000</v>
      </c>
      <c r="G146" s="2">
        <v>114817000</v>
      </c>
      <c r="H146" s="2">
        <v>109006000</v>
      </c>
      <c r="I146" s="2">
        <v>62975000</v>
      </c>
      <c r="J146" s="2">
        <v>46031000</v>
      </c>
      <c r="K146" s="2">
        <v>363095000</v>
      </c>
      <c r="L146" s="2">
        <v>86039000</v>
      </c>
      <c r="M146" s="3">
        <v>243.59</v>
      </c>
      <c r="N146" s="4">
        <v>2831</v>
      </c>
      <c r="O146" s="2">
        <v>73484000</v>
      </c>
      <c r="P146" s="3">
        <v>219.41</v>
      </c>
      <c r="Q146" s="4">
        <v>2986</v>
      </c>
      <c r="R146" s="2">
        <f t="shared" si="12"/>
        <v>9574000</v>
      </c>
      <c r="S146">
        <f t="shared" si="13"/>
        <v>0.91926125822229721</v>
      </c>
      <c r="T146">
        <f t="shared" si="14"/>
        <v>8.0738741777702822E-2</v>
      </c>
    </row>
    <row r="147" spans="1:20" x14ac:dyDescent="0.25">
      <c r="A147" t="str">
        <f t="shared" si="10"/>
        <v>April</v>
      </c>
      <c r="B147" s="5">
        <f t="shared" si="11"/>
        <v>43196</v>
      </c>
      <c r="C147">
        <v>2018</v>
      </c>
      <c r="D147">
        <v>4</v>
      </c>
      <c r="E147">
        <v>6</v>
      </c>
      <c r="F147" s="2">
        <v>103762000</v>
      </c>
      <c r="G147" s="2">
        <v>101082000</v>
      </c>
      <c r="H147" s="2">
        <v>95899000</v>
      </c>
      <c r="I147" s="2">
        <v>54283000</v>
      </c>
      <c r="J147" s="2">
        <v>41616000</v>
      </c>
      <c r="K147" s="2">
        <v>342057000</v>
      </c>
      <c r="L147" s="2">
        <v>79100000</v>
      </c>
      <c r="M147" s="3">
        <v>226.56</v>
      </c>
      <c r="N147" s="4">
        <v>2864</v>
      </c>
      <c r="O147" s="2">
        <v>68220000</v>
      </c>
      <c r="P147" s="3">
        <v>205.56</v>
      </c>
      <c r="Q147" s="4">
        <v>3013</v>
      </c>
      <c r="R147" s="2">
        <f t="shared" si="12"/>
        <v>7863000</v>
      </c>
      <c r="S147">
        <f t="shared" si="13"/>
        <v>0.92422081301439829</v>
      </c>
      <c r="T147">
        <f t="shared" si="14"/>
        <v>7.5779186985601668E-2</v>
      </c>
    </row>
    <row r="148" spans="1:20" x14ac:dyDescent="0.25">
      <c r="A148" t="str">
        <f t="shared" si="10"/>
        <v>March</v>
      </c>
      <c r="B148" s="5">
        <f t="shared" si="11"/>
        <v>43189</v>
      </c>
      <c r="C148">
        <v>2018</v>
      </c>
      <c r="D148">
        <v>3</v>
      </c>
      <c r="E148">
        <v>30</v>
      </c>
      <c r="F148" s="2">
        <v>94139000</v>
      </c>
      <c r="G148" s="2">
        <v>91593000</v>
      </c>
      <c r="H148" s="2">
        <v>87328000</v>
      </c>
      <c r="I148" s="2">
        <v>48374000</v>
      </c>
      <c r="J148" s="2">
        <v>38954000</v>
      </c>
      <c r="K148" s="2">
        <v>324355000</v>
      </c>
      <c r="L148" s="2">
        <v>73396000</v>
      </c>
      <c r="M148" s="3">
        <v>212.32</v>
      </c>
      <c r="N148" s="4">
        <v>2893</v>
      </c>
      <c r="O148" s="2">
        <v>63847000</v>
      </c>
      <c r="P148" s="3">
        <v>193.85</v>
      </c>
      <c r="Q148" s="4">
        <v>3036</v>
      </c>
      <c r="R148" s="2">
        <f t="shared" si="12"/>
        <v>6811000</v>
      </c>
      <c r="S148">
        <f t="shared" si="13"/>
        <v>0.92764953951072349</v>
      </c>
      <c r="T148">
        <f t="shared" si="14"/>
        <v>7.23504604892765E-2</v>
      </c>
    </row>
    <row r="149" spans="1:20" x14ac:dyDescent="0.25">
      <c r="A149" t="str">
        <f t="shared" si="10"/>
        <v>March</v>
      </c>
      <c r="B149" s="5">
        <f t="shared" si="11"/>
        <v>43182</v>
      </c>
      <c r="C149">
        <v>2018</v>
      </c>
      <c r="D149">
        <v>3</v>
      </c>
      <c r="E149">
        <v>23</v>
      </c>
      <c r="F149" s="2">
        <v>85689000</v>
      </c>
      <c r="G149" s="2">
        <v>83286000</v>
      </c>
      <c r="H149" s="2">
        <v>79780000</v>
      </c>
      <c r="I149" s="2">
        <v>43094000</v>
      </c>
      <c r="J149" s="2">
        <v>36686000</v>
      </c>
      <c r="K149" s="2">
        <v>307121000</v>
      </c>
      <c r="L149" s="2">
        <v>67599000</v>
      </c>
      <c r="M149" s="3">
        <v>197.7</v>
      </c>
      <c r="N149" s="4">
        <v>2925</v>
      </c>
      <c r="O149" s="2">
        <v>59313000</v>
      </c>
      <c r="P149" s="3">
        <v>181.6</v>
      </c>
      <c r="Q149" s="4">
        <v>3062</v>
      </c>
      <c r="R149" s="2">
        <f t="shared" si="12"/>
        <v>5909000</v>
      </c>
      <c r="S149">
        <f t="shared" si="13"/>
        <v>0.93104132385720451</v>
      </c>
      <c r="T149">
        <f t="shared" si="14"/>
        <v>6.8958676142795453E-2</v>
      </c>
    </row>
    <row r="150" spans="1:20" x14ac:dyDescent="0.25">
      <c r="A150" t="str">
        <f t="shared" si="10"/>
        <v>March</v>
      </c>
      <c r="B150" s="5">
        <f t="shared" si="11"/>
        <v>43175</v>
      </c>
      <c r="C150">
        <v>2018</v>
      </c>
      <c r="D150">
        <v>3</v>
      </c>
      <c r="E150">
        <v>16</v>
      </c>
      <c r="F150" s="2">
        <v>77795000</v>
      </c>
      <c r="G150" s="2">
        <v>75307000</v>
      </c>
      <c r="H150" s="2">
        <v>72732000</v>
      </c>
      <c r="I150" s="2">
        <v>38245000</v>
      </c>
      <c r="J150" s="2">
        <v>34487000</v>
      </c>
      <c r="K150" s="2">
        <v>288340000</v>
      </c>
      <c r="L150" s="2">
        <v>61739000</v>
      </c>
      <c r="M150" s="3">
        <v>182.77</v>
      </c>
      <c r="N150" s="4">
        <v>2960</v>
      </c>
      <c r="O150" s="2">
        <v>54602000</v>
      </c>
      <c r="P150" s="3">
        <v>168.8</v>
      </c>
      <c r="Q150" s="4">
        <v>3091</v>
      </c>
      <c r="R150" s="2">
        <f t="shared" si="12"/>
        <v>5063000</v>
      </c>
      <c r="S150">
        <f t="shared" si="13"/>
        <v>0.93491869657433002</v>
      </c>
      <c r="T150">
        <f t="shared" si="14"/>
        <v>6.5081303425670034E-2</v>
      </c>
    </row>
    <row r="151" spans="1:20" x14ac:dyDescent="0.25">
      <c r="A151" t="str">
        <f t="shared" si="10"/>
        <v>March</v>
      </c>
      <c r="B151" s="5">
        <f t="shared" si="11"/>
        <v>43168</v>
      </c>
      <c r="C151">
        <v>2018</v>
      </c>
      <c r="D151">
        <v>3</v>
      </c>
      <c r="E151">
        <v>9</v>
      </c>
      <c r="F151" s="2">
        <v>69484000</v>
      </c>
      <c r="G151" s="2">
        <v>67183000</v>
      </c>
      <c r="H151" s="2">
        <v>65270000</v>
      </c>
      <c r="I151" s="2">
        <v>33495000</v>
      </c>
      <c r="J151" s="2">
        <v>31775000</v>
      </c>
      <c r="K151" s="2">
        <v>267117000</v>
      </c>
      <c r="L151" s="2">
        <v>55327000</v>
      </c>
      <c r="M151" s="3">
        <v>166.19</v>
      </c>
      <c r="N151" s="4">
        <v>3004</v>
      </c>
      <c r="O151" s="2">
        <v>49357000</v>
      </c>
      <c r="P151" s="3">
        <v>154.35</v>
      </c>
      <c r="Q151" s="4">
        <v>3127</v>
      </c>
      <c r="R151" s="2">
        <f t="shared" si="12"/>
        <v>4214000</v>
      </c>
      <c r="S151">
        <f t="shared" si="13"/>
        <v>0.93935294456277707</v>
      </c>
      <c r="T151">
        <f t="shared" si="14"/>
        <v>6.0647055437222958E-2</v>
      </c>
    </row>
    <row r="152" spans="1:20" x14ac:dyDescent="0.25">
      <c r="A152" t="str">
        <f t="shared" si="10"/>
        <v>March</v>
      </c>
      <c r="B152" s="5">
        <f t="shared" si="11"/>
        <v>43161</v>
      </c>
      <c r="C152">
        <v>2018</v>
      </c>
      <c r="D152">
        <v>3</v>
      </c>
      <c r="E152">
        <v>2</v>
      </c>
      <c r="F152" s="2">
        <v>61150000</v>
      </c>
      <c r="G152" s="2">
        <v>59048000</v>
      </c>
      <c r="H152" s="2">
        <v>57794000</v>
      </c>
      <c r="I152" s="2">
        <v>28688000</v>
      </c>
      <c r="J152" s="2">
        <v>29106000</v>
      </c>
      <c r="K152" s="2">
        <v>242891000</v>
      </c>
      <c r="L152" s="2">
        <v>48452000</v>
      </c>
      <c r="M152" s="3">
        <v>147.58000000000001</v>
      </c>
      <c r="N152" s="4">
        <v>3046</v>
      </c>
      <c r="O152" s="2">
        <v>43549000</v>
      </c>
      <c r="P152" s="3">
        <v>137.72</v>
      </c>
      <c r="Q152" s="4">
        <v>3162</v>
      </c>
      <c r="R152" s="2">
        <f t="shared" si="12"/>
        <v>3356000</v>
      </c>
      <c r="S152">
        <f t="shared" si="13"/>
        <v>0.94511856091578084</v>
      </c>
      <c r="T152">
        <f t="shared" si="14"/>
        <v>5.4881439084219136E-2</v>
      </c>
    </row>
    <row r="153" spans="1:20" x14ac:dyDescent="0.25">
      <c r="A153" t="str">
        <f t="shared" si="10"/>
        <v>February</v>
      </c>
      <c r="B153" s="5">
        <f t="shared" si="11"/>
        <v>43154</v>
      </c>
      <c r="C153">
        <v>2018</v>
      </c>
      <c r="D153">
        <v>2</v>
      </c>
      <c r="E153">
        <v>23</v>
      </c>
      <c r="F153" s="2">
        <v>51740000</v>
      </c>
      <c r="G153" s="2">
        <v>49992000</v>
      </c>
      <c r="H153" s="2">
        <v>49192000</v>
      </c>
      <c r="I153" s="2">
        <v>23438000</v>
      </c>
      <c r="J153" s="2">
        <v>25754000</v>
      </c>
      <c r="K153" s="2">
        <v>213117000</v>
      </c>
      <c r="L153" s="2">
        <v>40504000</v>
      </c>
      <c r="M153" s="3">
        <v>125.67</v>
      </c>
      <c r="N153" s="4">
        <v>3103</v>
      </c>
      <c r="O153" s="2">
        <v>37731000</v>
      </c>
      <c r="P153" s="3">
        <v>120.69</v>
      </c>
      <c r="Q153" s="4">
        <v>3199</v>
      </c>
      <c r="R153" s="2">
        <f t="shared" si="12"/>
        <v>2548000</v>
      </c>
      <c r="S153">
        <f t="shared" si="13"/>
        <v>0.95075376884422114</v>
      </c>
      <c r="T153">
        <f t="shared" si="14"/>
        <v>4.9246231155778891E-2</v>
      </c>
    </row>
    <row r="154" spans="1:20" x14ac:dyDescent="0.25">
      <c r="A154" t="str">
        <f t="shared" si="10"/>
        <v>February</v>
      </c>
      <c r="B154" s="5">
        <f t="shared" si="11"/>
        <v>43147</v>
      </c>
      <c r="C154">
        <v>2018</v>
      </c>
      <c r="D154">
        <v>2</v>
      </c>
      <c r="E154">
        <v>16</v>
      </c>
      <c r="F154" s="2">
        <v>41738000</v>
      </c>
      <c r="G154" s="2">
        <v>40470000</v>
      </c>
      <c r="H154" s="2">
        <v>39882000</v>
      </c>
      <c r="I154" s="2">
        <v>18126000</v>
      </c>
      <c r="J154" s="2">
        <v>21756000</v>
      </c>
      <c r="K154" s="2">
        <v>167163000</v>
      </c>
      <c r="L154" s="2">
        <v>31937000</v>
      </c>
      <c r="M154" s="3">
        <v>101.21</v>
      </c>
      <c r="N154" s="4">
        <v>3169</v>
      </c>
      <c r="O154" s="2">
        <v>30040000</v>
      </c>
      <c r="P154" s="3">
        <v>97.82</v>
      </c>
      <c r="Q154" s="4">
        <v>3256</v>
      </c>
      <c r="R154" s="2">
        <f t="shared" si="12"/>
        <v>1856000</v>
      </c>
      <c r="S154">
        <f t="shared" si="13"/>
        <v>0.95553212899516027</v>
      </c>
      <c r="T154">
        <f t="shared" si="14"/>
        <v>4.4467871004839711E-2</v>
      </c>
    </row>
    <row r="155" spans="1:20" x14ac:dyDescent="0.25">
      <c r="A155" t="str">
        <f t="shared" si="10"/>
        <v>February</v>
      </c>
      <c r="B155" s="5">
        <f t="shared" si="11"/>
        <v>43140</v>
      </c>
      <c r="C155">
        <v>2018</v>
      </c>
      <c r="D155">
        <v>2</v>
      </c>
      <c r="E155">
        <v>9</v>
      </c>
      <c r="F155" s="2">
        <v>30881000</v>
      </c>
      <c r="G155" s="2">
        <v>30016000</v>
      </c>
      <c r="H155" s="2">
        <v>29724000</v>
      </c>
      <c r="I155" s="2">
        <v>12575000</v>
      </c>
      <c r="J155" s="2">
        <v>17149000</v>
      </c>
      <c r="K155" s="2">
        <v>114218000</v>
      </c>
      <c r="L155" s="2">
        <v>13517000</v>
      </c>
      <c r="M155" s="3">
        <v>28.86</v>
      </c>
      <c r="N155" s="4">
        <v>2135</v>
      </c>
      <c r="O155" s="2">
        <v>12685000</v>
      </c>
      <c r="P155" s="3">
        <v>27.88</v>
      </c>
      <c r="Q155" s="4">
        <v>2198</v>
      </c>
      <c r="R155" s="2">
        <f t="shared" si="12"/>
        <v>1157000</v>
      </c>
      <c r="S155">
        <f t="shared" si="13"/>
        <v>0.96253359670995109</v>
      </c>
      <c r="T155">
        <f t="shared" si="14"/>
        <v>3.7466403290048897E-2</v>
      </c>
    </row>
    <row r="156" spans="1:20" x14ac:dyDescent="0.25">
      <c r="A156" t="str">
        <f t="shared" si="10"/>
        <v>February</v>
      </c>
      <c r="B156" s="5">
        <f t="shared" si="11"/>
        <v>43133</v>
      </c>
      <c r="C156">
        <v>2018</v>
      </c>
      <c r="D156">
        <v>2</v>
      </c>
      <c r="E156">
        <v>2</v>
      </c>
      <c r="F156" s="2">
        <v>18302000</v>
      </c>
      <c r="G156" s="2">
        <v>17931000</v>
      </c>
      <c r="H156" s="2">
        <v>17518000</v>
      </c>
      <c r="I156" s="2">
        <v>6744000</v>
      </c>
      <c r="J156" s="2">
        <v>10774000</v>
      </c>
      <c r="K156" s="2">
        <v>74401000</v>
      </c>
      <c r="L156" s="2">
        <v>6171000</v>
      </c>
      <c r="M156" s="3">
        <v>12.56</v>
      </c>
      <c r="N156" s="4">
        <v>2035</v>
      </c>
      <c r="O156" s="2">
        <v>5860000</v>
      </c>
      <c r="P156" s="3">
        <v>12.21</v>
      </c>
      <c r="Q156" s="4">
        <v>2084</v>
      </c>
      <c r="R156" s="2">
        <f t="shared" si="12"/>
        <v>784000</v>
      </c>
      <c r="S156">
        <f t="shared" si="13"/>
        <v>0.95716315156813458</v>
      </c>
      <c r="T156">
        <f t="shared" si="14"/>
        <v>4.2836848431865367E-2</v>
      </c>
    </row>
    <row r="157" spans="1:20" x14ac:dyDescent="0.25">
      <c r="A157" t="str">
        <f t="shared" si="10"/>
        <v>December</v>
      </c>
      <c r="B157" s="5">
        <f t="shared" si="11"/>
        <v>43098</v>
      </c>
      <c r="C157">
        <v>2017</v>
      </c>
      <c r="D157">
        <v>12</v>
      </c>
      <c r="E157">
        <v>29</v>
      </c>
      <c r="F157" s="2">
        <v>152235000</v>
      </c>
      <c r="G157" s="2">
        <v>151916000</v>
      </c>
      <c r="H157" s="2">
        <v>132319000</v>
      </c>
      <c r="I157" s="2">
        <v>78924000</v>
      </c>
      <c r="J157" s="2">
        <v>53395000</v>
      </c>
      <c r="K157" s="2">
        <v>502095254</v>
      </c>
      <c r="L157" s="2">
        <v>111873000</v>
      </c>
      <c r="M157" s="3">
        <v>323.88</v>
      </c>
      <c r="N157" s="4">
        <v>2895</v>
      </c>
      <c r="O157" s="2">
        <v>89485000</v>
      </c>
      <c r="P157" s="3">
        <v>270.82</v>
      </c>
      <c r="Q157" s="4">
        <v>3026</v>
      </c>
      <c r="R157" s="2">
        <f t="shared" si="12"/>
        <v>19916000</v>
      </c>
      <c r="S157">
        <f t="shared" si="13"/>
        <v>0.86917594508490159</v>
      </c>
      <c r="T157">
        <f t="shared" si="14"/>
        <v>0.13082405491509838</v>
      </c>
    </row>
    <row r="158" spans="1:20" x14ac:dyDescent="0.25">
      <c r="A158" t="str">
        <f t="shared" si="10"/>
        <v>November</v>
      </c>
      <c r="B158" s="5">
        <f t="shared" si="11"/>
        <v>43063</v>
      </c>
      <c r="C158">
        <v>2017</v>
      </c>
      <c r="D158">
        <v>11</v>
      </c>
      <c r="E158">
        <v>24</v>
      </c>
      <c r="F158" s="2">
        <v>151825000</v>
      </c>
      <c r="G158" s="2">
        <v>151446000</v>
      </c>
      <c r="H158" s="2">
        <v>132319000</v>
      </c>
      <c r="I158" s="2">
        <v>78924000</v>
      </c>
      <c r="J158" s="2">
        <v>53395000</v>
      </c>
      <c r="K158" s="2">
        <v>475315554</v>
      </c>
      <c r="L158" s="2">
        <v>111709000</v>
      </c>
      <c r="M158" s="3">
        <v>322.60000000000002</v>
      </c>
      <c r="N158" s="4">
        <v>2888</v>
      </c>
      <c r="O158" s="2">
        <v>89402000</v>
      </c>
      <c r="P158" s="3">
        <v>270.25</v>
      </c>
      <c r="Q158" s="4">
        <v>3023</v>
      </c>
      <c r="R158" s="2">
        <f t="shared" si="12"/>
        <v>19506000</v>
      </c>
      <c r="S158">
        <f t="shared" si="13"/>
        <v>0.87152313518853941</v>
      </c>
      <c r="T158">
        <f t="shared" si="14"/>
        <v>0.12847686481146056</v>
      </c>
    </row>
    <row r="159" spans="1:20" x14ac:dyDescent="0.25">
      <c r="A159" t="str">
        <f t="shared" si="10"/>
        <v>October</v>
      </c>
      <c r="B159" s="5">
        <f t="shared" si="11"/>
        <v>43028</v>
      </c>
      <c r="C159">
        <v>2017</v>
      </c>
      <c r="D159">
        <v>10</v>
      </c>
      <c r="E159">
        <v>20</v>
      </c>
      <c r="F159" s="2">
        <v>150838000</v>
      </c>
      <c r="G159" s="2">
        <v>150177000</v>
      </c>
      <c r="H159" s="2">
        <v>131948000</v>
      </c>
      <c r="I159" s="2">
        <v>78567000</v>
      </c>
      <c r="J159" s="2">
        <v>53381000</v>
      </c>
      <c r="K159" s="2">
        <v>451232430</v>
      </c>
      <c r="L159" s="2">
        <v>110800000</v>
      </c>
      <c r="M159" s="3">
        <v>312</v>
      </c>
      <c r="N159" s="4">
        <v>2816</v>
      </c>
      <c r="O159" s="2">
        <v>89099000</v>
      </c>
      <c r="P159" s="3">
        <v>266.2</v>
      </c>
      <c r="Q159" s="4">
        <v>2988</v>
      </c>
      <c r="R159" s="2">
        <f t="shared" si="12"/>
        <v>18890000</v>
      </c>
      <c r="S159">
        <f t="shared" si="13"/>
        <v>0.87476630557286628</v>
      </c>
      <c r="T159">
        <f t="shared" si="14"/>
        <v>0.12523369442713375</v>
      </c>
    </row>
    <row r="160" spans="1:20" x14ac:dyDescent="0.25">
      <c r="A160" t="str">
        <f t="shared" si="10"/>
        <v>September</v>
      </c>
      <c r="B160" s="5">
        <f t="shared" si="11"/>
        <v>42979</v>
      </c>
      <c r="C160">
        <v>2017</v>
      </c>
      <c r="D160">
        <v>9</v>
      </c>
      <c r="E160">
        <v>1</v>
      </c>
      <c r="F160" s="2">
        <v>145329000</v>
      </c>
      <c r="G160" s="2">
        <v>145070000</v>
      </c>
      <c r="H160" s="2">
        <v>127277000</v>
      </c>
      <c r="I160" s="2">
        <v>74512000</v>
      </c>
      <c r="J160" s="2">
        <v>52765000</v>
      </c>
      <c r="K160" s="2">
        <v>417407116</v>
      </c>
      <c r="L160" s="2">
        <v>108761000</v>
      </c>
      <c r="M160" s="3">
        <v>302.52999999999997</v>
      </c>
      <c r="N160" s="4">
        <v>2782</v>
      </c>
      <c r="O160" s="2">
        <v>88052000</v>
      </c>
      <c r="P160" s="3">
        <v>260.74</v>
      </c>
      <c r="Q160" s="4">
        <v>2961</v>
      </c>
      <c r="R160" s="2">
        <f t="shared" si="12"/>
        <v>18052000</v>
      </c>
      <c r="S160">
        <f t="shared" si="13"/>
        <v>0.8757852871759938</v>
      </c>
      <c r="T160">
        <f t="shared" si="14"/>
        <v>0.12421471282400622</v>
      </c>
    </row>
    <row r="161" spans="1:20" x14ac:dyDescent="0.25">
      <c r="A161" t="str">
        <f t="shared" si="10"/>
        <v>May</v>
      </c>
      <c r="B161" s="5">
        <f t="shared" si="11"/>
        <v>42867</v>
      </c>
      <c r="C161">
        <v>2017</v>
      </c>
      <c r="D161">
        <v>5</v>
      </c>
      <c r="E161">
        <v>12</v>
      </c>
      <c r="F161" s="2">
        <v>139586000</v>
      </c>
      <c r="G161" s="2">
        <v>134192000</v>
      </c>
      <c r="H161" s="2">
        <v>123634000</v>
      </c>
      <c r="I161" s="2">
        <v>71463000</v>
      </c>
      <c r="J161" s="2">
        <v>52171000</v>
      </c>
      <c r="K161" s="2">
        <v>336315094</v>
      </c>
      <c r="L161" s="2">
        <v>102863000</v>
      </c>
      <c r="M161" s="3">
        <v>284.86</v>
      </c>
      <c r="N161" s="4">
        <v>2769</v>
      </c>
      <c r="O161" s="2">
        <v>85067000</v>
      </c>
      <c r="P161" s="3">
        <v>250.08</v>
      </c>
      <c r="Q161" s="4">
        <v>2940</v>
      </c>
      <c r="R161" s="2">
        <f t="shared" si="12"/>
        <v>15952000</v>
      </c>
      <c r="S161">
        <f t="shared" si="13"/>
        <v>0.88571919820039258</v>
      </c>
      <c r="T161">
        <f t="shared" si="14"/>
        <v>0.11428080179960741</v>
      </c>
    </row>
    <row r="162" spans="1:20" x14ac:dyDescent="0.25">
      <c r="A162" t="str">
        <f t="shared" si="10"/>
        <v>May</v>
      </c>
      <c r="B162" s="5">
        <f t="shared" si="11"/>
        <v>42860</v>
      </c>
      <c r="C162">
        <v>2017</v>
      </c>
      <c r="D162">
        <v>5</v>
      </c>
      <c r="E162">
        <v>5</v>
      </c>
      <c r="F162" s="2">
        <v>138945000</v>
      </c>
      <c r="G162" s="2">
        <v>132509000</v>
      </c>
      <c r="H162" s="2">
        <v>123239000</v>
      </c>
      <c r="I162" s="2">
        <v>71154000</v>
      </c>
      <c r="J162" s="2">
        <v>52085000</v>
      </c>
      <c r="K162" s="2">
        <v>329420774</v>
      </c>
      <c r="L162" s="2">
        <v>101641000</v>
      </c>
      <c r="M162" s="3">
        <v>281.66000000000003</v>
      </c>
      <c r="N162" s="4">
        <v>2771</v>
      </c>
      <c r="O162" s="2">
        <v>84424000</v>
      </c>
      <c r="P162" s="3">
        <v>248.2</v>
      </c>
      <c r="Q162" s="4">
        <v>2940</v>
      </c>
      <c r="R162" s="2">
        <f t="shared" si="12"/>
        <v>15706000</v>
      </c>
      <c r="S162">
        <f t="shared" si="13"/>
        <v>0.88696246716326599</v>
      </c>
      <c r="T162">
        <f t="shared" si="14"/>
        <v>0.11303753283673396</v>
      </c>
    </row>
    <row r="163" spans="1:20" x14ac:dyDescent="0.25">
      <c r="A163" t="str">
        <f t="shared" si="10"/>
        <v>April</v>
      </c>
      <c r="B163" s="5">
        <f t="shared" si="11"/>
        <v>42853</v>
      </c>
      <c r="C163">
        <v>2017</v>
      </c>
      <c r="D163">
        <v>4</v>
      </c>
      <c r="E163">
        <v>28</v>
      </c>
      <c r="F163" s="2">
        <v>137496000</v>
      </c>
      <c r="G163" s="2">
        <v>130862000</v>
      </c>
      <c r="H163" s="2">
        <v>122782000</v>
      </c>
      <c r="I163" s="2">
        <v>70815000</v>
      </c>
      <c r="J163" s="2">
        <v>51967000</v>
      </c>
      <c r="K163" s="2">
        <v>321661687</v>
      </c>
      <c r="L163" s="2">
        <v>100124000</v>
      </c>
      <c r="M163" s="3">
        <v>276.79000000000002</v>
      </c>
      <c r="N163" s="4">
        <v>2764</v>
      </c>
      <c r="O163" s="2">
        <v>83600000</v>
      </c>
      <c r="P163" s="3">
        <v>245.27</v>
      </c>
      <c r="Q163" s="4">
        <v>2934</v>
      </c>
      <c r="R163" s="2">
        <f t="shared" si="12"/>
        <v>14714000</v>
      </c>
      <c r="S163">
        <f t="shared" si="13"/>
        <v>0.89298597777389888</v>
      </c>
      <c r="T163">
        <f t="shared" si="14"/>
        <v>0.10701402222610112</v>
      </c>
    </row>
    <row r="164" spans="1:20" x14ac:dyDescent="0.25">
      <c r="A164" t="str">
        <f t="shared" si="10"/>
        <v>April</v>
      </c>
      <c r="B164" s="5">
        <f t="shared" si="11"/>
        <v>42846</v>
      </c>
      <c r="C164">
        <v>2017</v>
      </c>
      <c r="D164">
        <v>4</v>
      </c>
      <c r="E164">
        <v>21</v>
      </c>
      <c r="F164" s="2">
        <v>135638000</v>
      </c>
      <c r="G164" s="2">
        <v>128847000</v>
      </c>
      <c r="H164" s="2">
        <v>122164000</v>
      </c>
      <c r="I164" s="2">
        <v>70401000</v>
      </c>
      <c r="J164" s="2">
        <v>51763000</v>
      </c>
      <c r="K164" s="2">
        <v>312255666</v>
      </c>
      <c r="L164" s="2">
        <v>97104000</v>
      </c>
      <c r="M164" s="3">
        <v>268.3</v>
      </c>
      <c r="N164" s="4">
        <v>2763</v>
      </c>
      <c r="O164" s="2">
        <v>81646000</v>
      </c>
      <c r="P164" s="3">
        <v>239.41</v>
      </c>
      <c r="Q164" s="4">
        <v>2932</v>
      </c>
      <c r="R164" s="2">
        <f t="shared" si="12"/>
        <v>13474000</v>
      </c>
      <c r="S164">
        <f t="shared" si="13"/>
        <v>0.90066205635588847</v>
      </c>
      <c r="T164">
        <f t="shared" si="14"/>
        <v>9.9337943644111526E-2</v>
      </c>
    </row>
    <row r="165" spans="1:20" x14ac:dyDescent="0.25">
      <c r="A165" t="str">
        <f t="shared" si="10"/>
        <v>April</v>
      </c>
      <c r="B165" s="5">
        <f t="shared" si="11"/>
        <v>42839</v>
      </c>
      <c r="C165">
        <v>2017</v>
      </c>
      <c r="D165">
        <v>4</v>
      </c>
      <c r="E165">
        <v>14</v>
      </c>
      <c r="F165" s="2">
        <v>118463000</v>
      </c>
      <c r="G165" s="2">
        <v>115069000</v>
      </c>
      <c r="H165" s="2">
        <v>108559000</v>
      </c>
      <c r="I165" s="2">
        <v>63357000</v>
      </c>
      <c r="J165" s="2">
        <v>45202000</v>
      </c>
      <c r="K165" s="2">
        <v>294014055</v>
      </c>
      <c r="L165" s="2">
        <v>87529000</v>
      </c>
      <c r="M165" s="3">
        <v>246.41</v>
      </c>
      <c r="N165" s="4">
        <v>2815</v>
      </c>
      <c r="O165" s="2">
        <v>74644000</v>
      </c>
      <c r="P165" s="3">
        <v>222.31</v>
      </c>
      <c r="Q165" s="4">
        <v>2978</v>
      </c>
      <c r="R165" s="2">
        <f t="shared" si="12"/>
        <v>9904000</v>
      </c>
      <c r="S165">
        <f t="shared" si="13"/>
        <v>0.91639583667474234</v>
      </c>
      <c r="T165">
        <f t="shared" si="14"/>
        <v>8.3604163325257677E-2</v>
      </c>
    </row>
    <row r="166" spans="1:20" x14ac:dyDescent="0.25">
      <c r="A166" t="str">
        <f t="shared" si="10"/>
        <v>April</v>
      </c>
      <c r="B166" s="5">
        <f t="shared" si="11"/>
        <v>42832</v>
      </c>
      <c r="C166">
        <v>2017</v>
      </c>
      <c r="D166">
        <v>4</v>
      </c>
      <c r="E166">
        <v>7</v>
      </c>
      <c r="F166" s="2">
        <v>103612000</v>
      </c>
      <c r="G166" s="2">
        <v>101028000</v>
      </c>
      <c r="H166" s="2">
        <v>95458000</v>
      </c>
      <c r="I166" s="2">
        <v>54720000</v>
      </c>
      <c r="J166" s="2">
        <v>40738000</v>
      </c>
      <c r="K166" s="2">
        <v>276082236</v>
      </c>
      <c r="L166" s="2">
        <v>80296000</v>
      </c>
      <c r="M166" s="3">
        <v>228.95</v>
      </c>
      <c r="N166" s="4">
        <v>2851</v>
      </c>
      <c r="O166" s="2">
        <v>69293000</v>
      </c>
      <c r="P166" s="3">
        <v>208.48</v>
      </c>
      <c r="Q166" s="4">
        <v>3009</v>
      </c>
      <c r="R166" s="2">
        <f t="shared" si="12"/>
        <v>8154000</v>
      </c>
      <c r="S166">
        <f t="shared" si="13"/>
        <v>0.9213025518279736</v>
      </c>
      <c r="T166">
        <f t="shared" si="14"/>
        <v>7.869744817202641E-2</v>
      </c>
    </row>
    <row r="167" spans="1:20" x14ac:dyDescent="0.25">
      <c r="A167" t="str">
        <f t="shared" si="10"/>
        <v>March</v>
      </c>
      <c r="B167" s="5">
        <f t="shared" si="11"/>
        <v>42825</v>
      </c>
      <c r="C167">
        <v>2017</v>
      </c>
      <c r="D167">
        <v>3</v>
      </c>
      <c r="E167">
        <v>31</v>
      </c>
      <c r="F167" s="2">
        <v>93675000</v>
      </c>
      <c r="G167" s="2">
        <v>91297000</v>
      </c>
      <c r="H167" s="2">
        <v>86595000</v>
      </c>
      <c r="I167" s="2">
        <v>48646000</v>
      </c>
      <c r="J167" s="2">
        <v>37949000</v>
      </c>
      <c r="K167" s="2">
        <v>261081385</v>
      </c>
      <c r="L167" s="2">
        <v>74196000</v>
      </c>
      <c r="M167" s="3">
        <v>213.57</v>
      </c>
      <c r="N167" s="4">
        <v>2878</v>
      </c>
      <c r="O167" s="2">
        <v>64694000</v>
      </c>
      <c r="P167" s="3">
        <v>196.08</v>
      </c>
      <c r="Q167" s="4">
        <v>3031</v>
      </c>
      <c r="R167" s="2">
        <f t="shared" si="12"/>
        <v>7080000</v>
      </c>
      <c r="S167">
        <f t="shared" si="13"/>
        <v>0.92441953562850276</v>
      </c>
      <c r="T167">
        <f t="shared" si="14"/>
        <v>7.5580464371497194E-2</v>
      </c>
    </row>
    <row r="168" spans="1:20" x14ac:dyDescent="0.25">
      <c r="A168" t="str">
        <f t="shared" si="10"/>
        <v>March</v>
      </c>
      <c r="B168" s="5">
        <f t="shared" si="11"/>
        <v>42818</v>
      </c>
      <c r="C168">
        <v>2017</v>
      </c>
      <c r="D168">
        <v>3</v>
      </c>
      <c r="E168">
        <v>24</v>
      </c>
      <c r="F168" s="2">
        <v>85251000</v>
      </c>
      <c r="G168" s="2">
        <v>82990000</v>
      </c>
      <c r="H168" s="2">
        <v>79125000</v>
      </c>
      <c r="I168" s="2">
        <v>43395000</v>
      </c>
      <c r="J168" s="2">
        <v>35730000</v>
      </c>
      <c r="K168" s="2">
        <v>246382030</v>
      </c>
      <c r="L168" s="2">
        <v>68348000</v>
      </c>
      <c r="M168" s="3">
        <v>197.98</v>
      </c>
      <c r="N168" s="4">
        <v>2987</v>
      </c>
      <c r="O168" s="2">
        <v>60194000</v>
      </c>
      <c r="P168" s="3">
        <v>183.21</v>
      </c>
      <c r="Q168" s="4">
        <v>3044</v>
      </c>
      <c r="R168" s="2">
        <f t="shared" si="12"/>
        <v>6126000</v>
      </c>
      <c r="S168">
        <f t="shared" si="13"/>
        <v>0.92814160537706303</v>
      </c>
      <c r="T168">
        <f t="shared" si="14"/>
        <v>7.1858394622936972E-2</v>
      </c>
    </row>
    <row r="169" spans="1:20" x14ac:dyDescent="0.25">
      <c r="A169" t="str">
        <f t="shared" si="10"/>
        <v>March</v>
      </c>
      <c r="B169" s="5">
        <f t="shared" si="11"/>
        <v>42811</v>
      </c>
      <c r="C169">
        <v>2017</v>
      </c>
      <c r="D169">
        <v>3</v>
      </c>
      <c r="E169">
        <v>17</v>
      </c>
      <c r="F169" s="2">
        <v>77475000</v>
      </c>
      <c r="G169" s="2">
        <v>75208000</v>
      </c>
      <c r="H169" s="2">
        <v>72205000</v>
      </c>
      <c r="I169" s="2">
        <v>38548000</v>
      </c>
      <c r="J169" s="2">
        <v>33657000</v>
      </c>
      <c r="K169" s="2">
        <v>231360122</v>
      </c>
      <c r="L169" s="2">
        <v>62494000</v>
      </c>
      <c r="M169" s="3">
        <v>183.16</v>
      </c>
      <c r="N169" s="4">
        <v>2931</v>
      </c>
      <c r="O169" s="2">
        <v>55589000</v>
      </c>
      <c r="P169" s="3">
        <v>170.67</v>
      </c>
      <c r="Q169" s="4">
        <v>3070</v>
      </c>
      <c r="R169" s="2">
        <f t="shared" si="12"/>
        <v>5270000</v>
      </c>
      <c r="S169">
        <f t="shared" si="13"/>
        <v>0.9319780574378832</v>
      </c>
      <c r="T169">
        <f t="shared" si="14"/>
        <v>6.8021942562116813E-2</v>
      </c>
    </row>
    <row r="170" spans="1:20" x14ac:dyDescent="0.25">
      <c r="A170" t="str">
        <f t="shared" si="10"/>
        <v>March</v>
      </c>
      <c r="B170" s="5">
        <f t="shared" si="11"/>
        <v>42804</v>
      </c>
      <c r="C170">
        <v>2017</v>
      </c>
      <c r="D170">
        <v>3</v>
      </c>
      <c r="E170">
        <v>10</v>
      </c>
      <c r="F170" s="2">
        <v>69403000</v>
      </c>
      <c r="G170" s="2">
        <v>67302000</v>
      </c>
      <c r="H170" s="2">
        <v>64953000</v>
      </c>
      <c r="I170" s="2">
        <v>34093000</v>
      </c>
      <c r="J170" s="2">
        <v>30860000</v>
      </c>
      <c r="K170" s="2">
        <v>214973517</v>
      </c>
      <c r="L170" s="2">
        <v>56220000</v>
      </c>
      <c r="M170" s="3">
        <v>167.15</v>
      </c>
      <c r="N170" s="4">
        <v>2973</v>
      </c>
      <c r="O170" s="2">
        <v>50499000</v>
      </c>
      <c r="P170" s="3">
        <v>156.81</v>
      </c>
      <c r="Q170" s="4">
        <v>3105</v>
      </c>
      <c r="R170" s="2">
        <f t="shared" si="12"/>
        <v>4450000</v>
      </c>
      <c r="S170">
        <f t="shared" si="13"/>
        <v>0.93588173421898191</v>
      </c>
      <c r="T170">
        <f t="shared" si="14"/>
        <v>6.4118265781018105E-2</v>
      </c>
    </row>
    <row r="171" spans="1:20" x14ac:dyDescent="0.25">
      <c r="A171" t="str">
        <f t="shared" si="10"/>
        <v>March</v>
      </c>
      <c r="B171" s="5">
        <f t="shared" si="11"/>
        <v>42797</v>
      </c>
      <c r="C171">
        <v>2017</v>
      </c>
      <c r="D171">
        <v>3</v>
      </c>
      <c r="E171">
        <v>3</v>
      </c>
      <c r="F171" s="2">
        <v>61063000</v>
      </c>
      <c r="G171" s="2">
        <v>59081000</v>
      </c>
      <c r="H171" s="2">
        <v>57435000</v>
      </c>
      <c r="I171" s="2">
        <v>29293000</v>
      </c>
      <c r="J171" s="2">
        <v>28142000</v>
      </c>
      <c r="K171" s="2">
        <v>196533468</v>
      </c>
      <c r="L171" s="2">
        <v>49352000</v>
      </c>
      <c r="M171" s="3">
        <v>148.83000000000001</v>
      </c>
      <c r="N171" s="4">
        <v>3016</v>
      </c>
      <c r="O171" s="2">
        <v>44822000</v>
      </c>
      <c r="P171" s="3">
        <v>140.66</v>
      </c>
      <c r="Q171" s="4">
        <v>3138</v>
      </c>
      <c r="R171" s="2">
        <f t="shared" si="12"/>
        <v>3628000</v>
      </c>
      <c r="S171">
        <f t="shared" si="13"/>
        <v>0.94058595221328789</v>
      </c>
      <c r="T171">
        <f t="shared" si="14"/>
        <v>5.9414047786712082E-2</v>
      </c>
    </row>
    <row r="172" spans="1:20" x14ac:dyDescent="0.25">
      <c r="A172" t="str">
        <f t="shared" si="10"/>
        <v>February</v>
      </c>
      <c r="B172" s="5">
        <f t="shared" si="11"/>
        <v>42790</v>
      </c>
      <c r="C172">
        <v>2017</v>
      </c>
      <c r="D172">
        <v>2</v>
      </c>
      <c r="E172">
        <v>24</v>
      </c>
      <c r="F172" s="2">
        <v>52096000</v>
      </c>
      <c r="G172" s="2">
        <v>50425000</v>
      </c>
      <c r="H172" s="2">
        <v>49371000</v>
      </c>
      <c r="I172" s="2">
        <v>24220000</v>
      </c>
      <c r="J172" s="2">
        <v>25151000</v>
      </c>
      <c r="K172" s="2">
        <v>175337226</v>
      </c>
      <c r="L172" s="2">
        <v>41427000</v>
      </c>
      <c r="M172" s="3">
        <v>127.23</v>
      </c>
      <c r="N172" s="4">
        <v>3071</v>
      </c>
      <c r="O172" s="2">
        <v>38121000</v>
      </c>
      <c r="P172" s="3">
        <v>121.33</v>
      </c>
      <c r="Q172" s="4">
        <v>3183</v>
      </c>
      <c r="R172" s="2">
        <f t="shared" si="12"/>
        <v>2725000</v>
      </c>
      <c r="S172">
        <f t="shared" si="13"/>
        <v>0.94769272113022118</v>
      </c>
      <c r="T172">
        <f t="shared" si="14"/>
        <v>5.2307278869778873E-2</v>
      </c>
    </row>
    <row r="173" spans="1:20" x14ac:dyDescent="0.25">
      <c r="A173" t="str">
        <f t="shared" si="10"/>
        <v>February</v>
      </c>
      <c r="B173" s="5">
        <f t="shared" si="11"/>
        <v>42783</v>
      </c>
      <c r="C173">
        <v>2017</v>
      </c>
      <c r="D173">
        <v>2</v>
      </c>
      <c r="E173">
        <v>17</v>
      </c>
      <c r="F173" s="2">
        <v>42502000</v>
      </c>
      <c r="G173" s="2">
        <v>41301000</v>
      </c>
      <c r="H173" s="2">
        <v>40447000</v>
      </c>
      <c r="I173" s="2">
        <v>18941000</v>
      </c>
      <c r="J173" s="2">
        <v>21506000</v>
      </c>
      <c r="K173" s="2">
        <v>142134050</v>
      </c>
      <c r="L173" s="2">
        <v>32904000</v>
      </c>
      <c r="M173" s="3">
        <v>103.24</v>
      </c>
      <c r="N173" s="4">
        <v>3137</v>
      </c>
      <c r="O173" s="2">
        <v>30616000</v>
      </c>
      <c r="P173" s="3">
        <v>99.17</v>
      </c>
      <c r="Q173" s="4">
        <v>3239</v>
      </c>
      <c r="R173" s="2">
        <f t="shared" si="12"/>
        <v>2055000</v>
      </c>
      <c r="S173">
        <f t="shared" si="13"/>
        <v>0.95164933414898123</v>
      </c>
      <c r="T173">
        <f t="shared" si="14"/>
        <v>4.8350665851018777E-2</v>
      </c>
    </row>
    <row r="174" spans="1:20" x14ac:dyDescent="0.25">
      <c r="A174" t="str">
        <f t="shared" si="10"/>
        <v>February</v>
      </c>
      <c r="B174" s="5">
        <f t="shared" si="11"/>
        <v>42776</v>
      </c>
      <c r="C174">
        <v>2017</v>
      </c>
      <c r="D174">
        <v>2</v>
      </c>
      <c r="E174">
        <v>10</v>
      </c>
      <c r="F174" s="2">
        <v>32089000</v>
      </c>
      <c r="G174" s="2">
        <v>31422000</v>
      </c>
      <c r="H174" s="2">
        <v>30827000</v>
      </c>
      <c r="I174" s="2">
        <v>13518000</v>
      </c>
      <c r="J174" s="2">
        <v>17309000</v>
      </c>
      <c r="K174" s="2">
        <v>98635810</v>
      </c>
      <c r="L174" s="2">
        <v>14059000</v>
      </c>
      <c r="M174" s="3">
        <v>28.93</v>
      </c>
      <c r="N174" s="4">
        <v>2058</v>
      </c>
      <c r="O174" s="2">
        <v>13039000</v>
      </c>
      <c r="P174" s="3">
        <v>27.78</v>
      </c>
      <c r="Q174" s="4">
        <v>2130</v>
      </c>
      <c r="R174" s="2">
        <f t="shared" si="12"/>
        <v>1262000</v>
      </c>
      <c r="S174">
        <f t="shared" si="13"/>
        <v>0.96067188133005077</v>
      </c>
      <c r="T174">
        <f t="shared" si="14"/>
        <v>3.9328118669949202E-2</v>
      </c>
    </row>
    <row r="175" spans="1:20" x14ac:dyDescent="0.25">
      <c r="A175" t="str">
        <f t="shared" si="10"/>
        <v>February</v>
      </c>
      <c r="B175" s="5">
        <f t="shared" si="11"/>
        <v>42769</v>
      </c>
      <c r="C175">
        <v>2017</v>
      </c>
      <c r="D175">
        <v>2</v>
      </c>
      <c r="E175">
        <v>3</v>
      </c>
      <c r="F175" s="2">
        <v>20181000</v>
      </c>
      <c r="G175" s="2">
        <v>19968000</v>
      </c>
      <c r="H175" s="2">
        <v>19407000</v>
      </c>
      <c r="I175" s="2">
        <v>7796000</v>
      </c>
      <c r="J175" s="2">
        <v>11611000</v>
      </c>
      <c r="K175" s="2">
        <v>68464005</v>
      </c>
      <c r="L175" s="2">
        <v>6596000</v>
      </c>
      <c r="M175" s="3">
        <v>13.15</v>
      </c>
      <c r="N175" s="4">
        <v>1994</v>
      </c>
      <c r="O175" s="2">
        <v>6220000</v>
      </c>
      <c r="P175" s="3">
        <v>12.75</v>
      </c>
      <c r="Q175" s="4">
        <v>2050</v>
      </c>
      <c r="R175" s="2">
        <f t="shared" si="12"/>
        <v>774000</v>
      </c>
      <c r="S175">
        <f t="shared" si="13"/>
        <v>0.96164709380110003</v>
      </c>
      <c r="T175">
        <f t="shared" si="14"/>
        <v>3.8352906198899958E-2</v>
      </c>
    </row>
    <row r="176" spans="1:20" x14ac:dyDescent="0.25">
      <c r="A176" t="str">
        <f t="shared" si="10"/>
        <v>January</v>
      </c>
      <c r="B176" s="5">
        <f t="shared" si="11"/>
        <v>42762</v>
      </c>
      <c r="C176">
        <v>2017</v>
      </c>
      <c r="D176">
        <v>1</v>
      </c>
      <c r="E176">
        <v>27</v>
      </c>
      <c r="F176" s="2">
        <v>8912000</v>
      </c>
      <c r="G176" s="2">
        <v>8804000</v>
      </c>
      <c r="H176" s="2">
        <v>8366000</v>
      </c>
      <c r="I176" s="2">
        <v>3192000</v>
      </c>
      <c r="J176" s="2">
        <v>5174000</v>
      </c>
      <c r="K176" s="2">
        <v>45912743</v>
      </c>
      <c r="L176" s="2">
        <v>2013000</v>
      </c>
      <c r="M176" s="3">
        <v>3.76</v>
      </c>
      <c r="N176" s="4">
        <v>1866</v>
      </c>
      <c r="O176" s="2">
        <v>1916000</v>
      </c>
      <c r="P176" s="3">
        <v>3.66</v>
      </c>
      <c r="Q176" s="4">
        <v>1909</v>
      </c>
      <c r="R176" s="2">
        <f t="shared" si="12"/>
        <v>546000</v>
      </c>
      <c r="S176">
        <f t="shared" si="13"/>
        <v>0.93873429084380611</v>
      </c>
      <c r="T176">
        <f t="shared" si="14"/>
        <v>6.1265709156193893E-2</v>
      </c>
    </row>
    <row r="177" spans="1:20" x14ac:dyDescent="0.25">
      <c r="A177" t="str">
        <f t="shared" si="10"/>
        <v>December</v>
      </c>
      <c r="B177" s="5">
        <f t="shared" si="11"/>
        <v>42734</v>
      </c>
      <c r="C177">
        <v>2016</v>
      </c>
      <c r="D177">
        <v>12</v>
      </c>
      <c r="E177">
        <v>30</v>
      </c>
      <c r="F177" s="2">
        <v>152544000</v>
      </c>
      <c r="G177" s="2">
        <v>152250000</v>
      </c>
      <c r="H177" s="2">
        <v>131851000</v>
      </c>
      <c r="I177" s="2">
        <v>78736000</v>
      </c>
      <c r="J177" s="2">
        <v>53115000</v>
      </c>
      <c r="K177" s="2">
        <v>507269589</v>
      </c>
      <c r="L177" s="2">
        <v>111069000</v>
      </c>
      <c r="M177" s="3">
        <v>317.62</v>
      </c>
      <c r="N177" s="4">
        <v>2860</v>
      </c>
      <c r="O177" s="2">
        <v>88416000</v>
      </c>
      <c r="P177" s="3">
        <v>264.82</v>
      </c>
      <c r="Q177" s="4">
        <v>2995</v>
      </c>
      <c r="R177" s="2">
        <f t="shared" si="12"/>
        <v>20693000</v>
      </c>
      <c r="S177">
        <f t="shared" si="13"/>
        <v>0.86434733585063983</v>
      </c>
      <c r="T177">
        <f t="shared" si="14"/>
        <v>0.1356526641493602</v>
      </c>
    </row>
    <row r="178" spans="1:20" x14ac:dyDescent="0.25">
      <c r="A178" t="str">
        <f t="shared" si="10"/>
        <v>December</v>
      </c>
      <c r="B178" s="5">
        <f t="shared" si="11"/>
        <v>42706</v>
      </c>
      <c r="C178">
        <v>2016</v>
      </c>
      <c r="D178">
        <v>12</v>
      </c>
      <c r="E178">
        <v>2</v>
      </c>
      <c r="F178" s="2">
        <v>152216000</v>
      </c>
      <c r="G178" s="2">
        <v>151891000</v>
      </c>
      <c r="H178" s="2">
        <v>131851000</v>
      </c>
      <c r="I178" s="2">
        <v>78736000</v>
      </c>
      <c r="J178" s="2">
        <v>53115000</v>
      </c>
      <c r="K178" s="2">
        <v>488350707</v>
      </c>
      <c r="L178" s="2">
        <v>110986000</v>
      </c>
      <c r="M178" s="3">
        <v>317.08999999999997</v>
      </c>
      <c r="N178" s="4">
        <v>2857</v>
      </c>
      <c r="O178" s="2">
        <v>88371000</v>
      </c>
      <c r="P178" s="3">
        <v>264.52999999999997</v>
      </c>
      <c r="Q178" s="4">
        <v>2993</v>
      </c>
      <c r="R178" s="2">
        <f t="shared" si="12"/>
        <v>20365000</v>
      </c>
      <c r="S178">
        <f t="shared" si="13"/>
        <v>0.86620985967309616</v>
      </c>
      <c r="T178">
        <f t="shared" si="14"/>
        <v>0.13379014032690387</v>
      </c>
    </row>
    <row r="179" spans="1:20" x14ac:dyDescent="0.25">
      <c r="A179" t="str">
        <f t="shared" si="10"/>
        <v>October</v>
      </c>
      <c r="B179" s="5">
        <f t="shared" si="11"/>
        <v>42664</v>
      </c>
      <c r="C179">
        <v>2016</v>
      </c>
      <c r="D179">
        <v>10</v>
      </c>
      <c r="E179">
        <v>21</v>
      </c>
      <c r="F179" s="2">
        <v>151187000</v>
      </c>
      <c r="G179" s="2">
        <v>150570000</v>
      </c>
      <c r="H179" s="2">
        <v>131628000</v>
      </c>
      <c r="I179" s="2">
        <v>78521000</v>
      </c>
      <c r="J179" s="2">
        <v>53107000</v>
      </c>
      <c r="K179" s="2">
        <v>462252942</v>
      </c>
      <c r="L179" s="2">
        <v>109959000</v>
      </c>
      <c r="M179" s="3">
        <v>305.33999999999997</v>
      </c>
      <c r="N179" s="4">
        <v>2777</v>
      </c>
      <c r="O179" s="2">
        <v>88006000</v>
      </c>
      <c r="P179" s="3">
        <v>259.88</v>
      </c>
      <c r="Q179" s="4">
        <v>2953</v>
      </c>
      <c r="R179" s="2">
        <f t="shared" si="12"/>
        <v>19559000</v>
      </c>
      <c r="S179">
        <f t="shared" si="13"/>
        <v>0.87063041134489072</v>
      </c>
      <c r="T179">
        <f t="shared" si="14"/>
        <v>0.12936958865510922</v>
      </c>
    </row>
    <row r="180" spans="1:20" x14ac:dyDescent="0.25">
      <c r="A180" t="str">
        <f t="shared" si="10"/>
        <v>September</v>
      </c>
      <c r="B180" s="5">
        <f t="shared" si="11"/>
        <v>42615</v>
      </c>
      <c r="C180">
        <v>2016</v>
      </c>
      <c r="D180">
        <v>9</v>
      </c>
      <c r="E180">
        <v>2</v>
      </c>
      <c r="F180" s="2">
        <v>145734000</v>
      </c>
      <c r="G180" s="2">
        <v>145413000</v>
      </c>
      <c r="H180" s="2">
        <v>127074000</v>
      </c>
      <c r="I180" s="2">
        <v>74523000</v>
      </c>
      <c r="J180" s="2">
        <v>52551000</v>
      </c>
      <c r="K180" s="2">
        <v>429038682</v>
      </c>
      <c r="L180" s="2">
        <v>108038000</v>
      </c>
      <c r="M180" s="3">
        <v>297.07</v>
      </c>
      <c r="N180" s="4">
        <v>2750</v>
      </c>
      <c r="O180" s="2">
        <v>86991000</v>
      </c>
      <c r="P180" s="3">
        <v>255</v>
      </c>
      <c r="Q180" s="4">
        <v>2931</v>
      </c>
      <c r="R180" s="2">
        <f t="shared" si="12"/>
        <v>18660000</v>
      </c>
      <c r="S180">
        <f t="shared" si="13"/>
        <v>0.87195849973238915</v>
      </c>
      <c r="T180">
        <f t="shared" si="14"/>
        <v>0.12804150026761085</v>
      </c>
    </row>
    <row r="181" spans="1:20" x14ac:dyDescent="0.25">
      <c r="A181" t="str">
        <f t="shared" si="10"/>
        <v>May</v>
      </c>
      <c r="B181" s="5">
        <f t="shared" si="11"/>
        <v>42503</v>
      </c>
      <c r="C181">
        <v>2016</v>
      </c>
      <c r="D181">
        <v>5</v>
      </c>
      <c r="E181">
        <v>13</v>
      </c>
      <c r="F181" s="2">
        <v>140258000</v>
      </c>
      <c r="G181" s="2">
        <v>134438000</v>
      </c>
      <c r="H181" s="2">
        <v>123737000</v>
      </c>
      <c r="I181" s="2">
        <v>71740000</v>
      </c>
      <c r="J181" s="2">
        <v>51997000</v>
      </c>
      <c r="K181" s="2">
        <v>348401089</v>
      </c>
      <c r="L181" s="2">
        <v>102424000</v>
      </c>
      <c r="M181" s="3">
        <v>279.86</v>
      </c>
      <c r="N181" s="4">
        <v>2732</v>
      </c>
      <c r="O181" s="2">
        <v>84273000</v>
      </c>
      <c r="P181" s="3">
        <v>244.84</v>
      </c>
      <c r="Q181" s="4">
        <v>2905</v>
      </c>
      <c r="R181" s="2">
        <f t="shared" si="12"/>
        <v>16521000</v>
      </c>
      <c r="S181">
        <f t="shared" si="13"/>
        <v>0.8822099274194698</v>
      </c>
      <c r="T181">
        <f t="shared" si="14"/>
        <v>0.11779007258053016</v>
      </c>
    </row>
    <row r="182" spans="1:20" x14ac:dyDescent="0.25">
      <c r="A182" t="str">
        <f t="shared" si="10"/>
        <v>May</v>
      </c>
      <c r="B182" s="5">
        <f t="shared" si="11"/>
        <v>42496</v>
      </c>
      <c r="C182">
        <v>2016</v>
      </c>
      <c r="D182">
        <v>5</v>
      </c>
      <c r="E182">
        <v>6</v>
      </c>
      <c r="F182" s="2">
        <v>139620000</v>
      </c>
      <c r="G182" s="2">
        <v>132748000</v>
      </c>
      <c r="H182" s="2">
        <v>123401000</v>
      </c>
      <c r="I182" s="2">
        <v>71476000</v>
      </c>
      <c r="J182" s="2">
        <v>51925000</v>
      </c>
      <c r="K182" s="2">
        <v>341781659</v>
      </c>
      <c r="L182" s="2">
        <v>101244000</v>
      </c>
      <c r="M182" s="3">
        <v>276.52999999999997</v>
      </c>
      <c r="N182" s="4">
        <v>2731</v>
      </c>
      <c r="O182" s="2">
        <v>83669000</v>
      </c>
      <c r="P182" s="3">
        <v>242.82</v>
      </c>
      <c r="Q182" s="4">
        <v>2902</v>
      </c>
      <c r="R182" s="2">
        <f t="shared" si="12"/>
        <v>16219000</v>
      </c>
      <c r="S182">
        <f t="shared" si="13"/>
        <v>0.88383469416988969</v>
      </c>
      <c r="T182">
        <f t="shared" si="14"/>
        <v>0.1161653058301103</v>
      </c>
    </row>
    <row r="183" spans="1:20" x14ac:dyDescent="0.25">
      <c r="A183" t="str">
        <f t="shared" si="10"/>
        <v>April</v>
      </c>
      <c r="B183" s="5">
        <f t="shared" si="11"/>
        <v>42489</v>
      </c>
      <c r="C183">
        <v>2016</v>
      </c>
      <c r="D183">
        <v>4</v>
      </c>
      <c r="E183">
        <v>29</v>
      </c>
      <c r="F183" s="2">
        <v>138827000</v>
      </c>
      <c r="G183" s="2">
        <v>131245000</v>
      </c>
      <c r="H183" s="2">
        <v>123023000</v>
      </c>
      <c r="I183" s="2">
        <v>71193000</v>
      </c>
      <c r="J183" s="2">
        <v>51830000</v>
      </c>
      <c r="K183" s="2">
        <v>334395994</v>
      </c>
      <c r="L183" s="2">
        <v>99899000</v>
      </c>
      <c r="M183" s="3">
        <v>272.02999999999997</v>
      </c>
      <c r="N183" s="4">
        <v>2723</v>
      </c>
      <c r="O183" s="2">
        <v>82977000</v>
      </c>
      <c r="P183" s="3">
        <v>240.17</v>
      </c>
      <c r="Q183" s="4">
        <v>2894</v>
      </c>
      <c r="R183" s="2">
        <f t="shared" si="12"/>
        <v>15804000</v>
      </c>
      <c r="S183">
        <f t="shared" si="13"/>
        <v>0.88616047310681645</v>
      </c>
      <c r="T183">
        <f t="shared" si="14"/>
        <v>0.11383952689318361</v>
      </c>
    </row>
    <row r="184" spans="1:20" x14ac:dyDescent="0.25">
      <c r="A184" t="str">
        <f t="shared" si="10"/>
        <v>April</v>
      </c>
      <c r="B184" s="5">
        <f t="shared" si="11"/>
        <v>42482</v>
      </c>
      <c r="C184">
        <v>2016</v>
      </c>
      <c r="D184">
        <v>4</v>
      </c>
      <c r="E184">
        <v>22</v>
      </c>
      <c r="F184" s="2">
        <v>136528000</v>
      </c>
      <c r="G184" s="2">
        <v>129456000</v>
      </c>
      <c r="H184" s="2">
        <v>122546000</v>
      </c>
      <c r="I184" s="2">
        <v>70864000</v>
      </c>
      <c r="J184" s="2">
        <v>51682000</v>
      </c>
      <c r="K184" s="2">
        <v>325525568</v>
      </c>
      <c r="L184" s="2">
        <v>97079000</v>
      </c>
      <c r="M184" s="3">
        <v>263.2</v>
      </c>
      <c r="N184" s="4">
        <v>2711</v>
      </c>
      <c r="O184" s="2">
        <v>81221000</v>
      </c>
      <c r="P184" s="3">
        <v>234.27</v>
      </c>
      <c r="Q184" s="4">
        <v>2884</v>
      </c>
      <c r="R184" s="2">
        <f t="shared" si="12"/>
        <v>13982000</v>
      </c>
      <c r="S184">
        <f t="shared" si="13"/>
        <v>0.89758877299894524</v>
      </c>
      <c r="T184">
        <f t="shared" si="14"/>
        <v>0.10241122700105473</v>
      </c>
    </row>
    <row r="185" spans="1:20" x14ac:dyDescent="0.25">
      <c r="A185" t="str">
        <f t="shared" si="10"/>
        <v>April</v>
      </c>
      <c r="B185" s="5">
        <f t="shared" si="11"/>
        <v>42475</v>
      </c>
      <c r="C185">
        <v>2016</v>
      </c>
      <c r="D185">
        <v>4</v>
      </c>
      <c r="E185">
        <v>15</v>
      </c>
      <c r="F185" s="2">
        <v>124616000</v>
      </c>
      <c r="G185" s="2">
        <v>119923000</v>
      </c>
      <c r="H185" s="2">
        <v>113402000</v>
      </c>
      <c r="I185" s="2">
        <v>66361000</v>
      </c>
      <c r="J185" s="2">
        <v>47041000</v>
      </c>
      <c r="K185" s="2">
        <v>311499555</v>
      </c>
      <c r="L185" s="2">
        <v>88833000</v>
      </c>
      <c r="M185" s="3">
        <v>244.87</v>
      </c>
      <c r="N185" s="4">
        <v>2757</v>
      </c>
      <c r="O185" s="2">
        <v>75240000</v>
      </c>
      <c r="P185" s="3">
        <v>220.03</v>
      </c>
      <c r="Q185" s="4">
        <v>2924</v>
      </c>
      <c r="R185" s="2">
        <f t="shared" si="12"/>
        <v>11214000</v>
      </c>
      <c r="S185">
        <f t="shared" si="13"/>
        <v>0.91001155549849133</v>
      </c>
      <c r="T185">
        <f t="shared" si="14"/>
        <v>8.9988444501508641E-2</v>
      </c>
    </row>
    <row r="186" spans="1:20" x14ac:dyDescent="0.25">
      <c r="A186" t="str">
        <f t="shared" si="10"/>
        <v>April</v>
      </c>
      <c r="B186" s="5">
        <f t="shared" si="11"/>
        <v>42468</v>
      </c>
      <c r="C186">
        <v>2016</v>
      </c>
      <c r="D186">
        <v>4</v>
      </c>
      <c r="E186">
        <v>8</v>
      </c>
      <c r="F186" s="2">
        <v>107452000</v>
      </c>
      <c r="G186" s="2">
        <v>104527000</v>
      </c>
      <c r="H186" s="2">
        <v>98731000</v>
      </c>
      <c r="I186" s="2">
        <v>57006000</v>
      </c>
      <c r="J186" s="2">
        <v>41725000</v>
      </c>
      <c r="K186" s="2">
        <v>289884145</v>
      </c>
      <c r="L186" s="2">
        <v>81751000</v>
      </c>
      <c r="M186" s="3">
        <v>228.78</v>
      </c>
      <c r="N186" s="4">
        <v>2798</v>
      </c>
      <c r="O186" s="2">
        <v>70027000</v>
      </c>
      <c r="P186" s="3">
        <v>207.36</v>
      </c>
      <c r="Q186" s="4">
        <v>2961</v>
      </c>
      <c r="R186" s="2">
        <f t="shared" si="12"/>
        <v>8721000</v>
      </c>
      <c r="S186">
        <f t="shared" si="13"/>
        <v>0.9188381789077914</v>
      </c>
      <c r="T186">
        <f t="shared" si="14"/>
        <v>8.1161821092208611E-2</v>
      </c>
    </row>
    <row r="187" spans="1:20" x14ac:dyDescent="0.25">
      <c r="A187" t="str">
        <f t="shared" si="10"/>
        <v>April</v>
      </c>
      <c r="B187" s="5">
        <f t="shared" si="11"/>
        <v>42461</v>
      </c>
      <c r="C187">
        <v>2016</v>
      </c>
      <c r="D187">
        <v>4</v>
      </c>
      <c r="E187">
        <v>1</v>
      </c>
      <c r="F187" s="2">
        <v>97631000</v>
      </c>
      <c r="G187" s="2">
        <v>94988000</v>
      </c>
      <c r="H187" s="2">
        <v>89973000</v>
      </c>
      <c r="I187" s="2">
        <v>51014000</v>
      </c>
      <c r="J187" s="2">
        <v>38959000</v>
      </c>
      <c r="K187" s="2">
        <v>274877786</v>
      </c>
      <c r="L187" s="2">
        <v>76040000</v>
      </c>
      <c r="M187" s="3">
        <v>215.35</v>
      </c>
      <c r="N187" s="4">
        <v>2832</v>
      </c>
      <c r="O187" s="2">
        <v>65780000</v>
      </c>
      <c r="P187" s="3">
        <v>196.63</v>
      </c>
      <c r="Q187" s="4">
        <v>2989</v>
      </c>
      <c r="R187" s="2">
        <f t="shared" si="12"/>
        <v>7658000</v>
      </c>
      <c r="S187">
        <f t="shared" si="13"/>
        <v>0.92156179901875424</v>
      </c>
      <c r="T187">
        <f t="shared" si="14"/>
        <v>7.8438200981245709E-2</v>
      </c>
    </row>
    <row r="188" spans="1:20" x14ac:dyDescent="0.25">
      <c r="A188" t="str">
        <f t="shared" si="10"/>
        <v>March</v>
      </c>
      <c r="B188" s="5">
        <f t="shared" si="11"/>
        <v>42454</v>
      </c>
      <c r="C188">
        <v>2016</v>
      </c>
      <c r="D188">
        <v>3</v>
      </c>
      <c r="E188">
        <v>25</v>
      </c>
      <c r="F188" s="2">
        <v>89412000</v>
      </c>
      <c r="G188" s="2">
        <v>86914000</v>
      </c>
      <c r="H188" s="2">
        <v>82787000</v>
      </c>
      <c r="I188" s="2">
        <v>46100000</v>
      </c>
      <c r="J188" s="2">
        <v>36687000</v>
      </c>
      <c r="K188" s="2">
        <v>261025110</v>
      </c>
      <c r="L188" s="2">
        <v>70786000</v>
      </c>
      <c r="M188" s="3">
        <v>202.87</v>
      </c>
      <c r="N188" s="4">
        <v>2866</v>
      </c>
      <c r="O188" s="2">
        <v>61844000</v>
      </c>
      <c r="P188" s="3">
        <v>186.55</v>
      </c>
      <c r="Q188" s="4">
        <v>3016</v>
      </c>
      <c r="R188" s="2">
        <f t="shared" si="12"/>
        <v>6625000</v>
      </c>
      <c r="S188">
        <f t="shared" si="13"/>
        <v>0.92590480025052568</v>
      </c>
      <c r="T188">
        <f t="shared" si="14"/>
        <v>7.4095199749474344E-2</v>
      </c>
    </row>
    <row r="189" spans="1:20" x14ac:dyDescent="0.25">
      <c r="A189" t="str">
        <f t="shared" si="10"/>
        <v>March</v>
      </c>
      <c r="B189" s="5">
        <f t="shared" si="11"/>
        <v>42447</v>
      </c>
      <c r="C189">
        <v>2016</v>
      </c>
      <c r="D189">
        <v>3</v>
      </c>
      <c r="E189">
        <v>18</v>
      </c>
      <c r="F189" s="2">
        <v>81960000</v>
      </c>
      <c r="G189" s="2">
        <v>79631000</v>
      </c>
      <c r="H189" s="2">
        <v>76212000</v>
      </c>
      <c r="I189" s="2">
        <v>41558000</v>
      </c>
      <c r="J189" s="2">
        <v>34654000</v>
      </c>
      <c r="K189" s="2">
        <v>247070498</v>
      </c>
      <c r="L189" s="2">
        <v>65441000</v>
      </c>
      <c r="M189" s="3">
        <v>189.9</v>
      </c>
      <c r="N189" s="4">
        <v>2902</v>
      </c>
      <c r="O189" s="2">
        <v>57758000</v>
      </c>
      <c r="P189" s="3">
        <v>175.85</v>
      </c>
      <c r="Q189" s="4">
        <v>3045</v>
      </c>
      <c r="R189" s="2">
        <f t="shared" si="12"/>
        <v>5748000</v>
      </c>
      <c r="S189">
        <f t="shared" si="13"/>
        <v>0.92986822840409955</v>
      </c>
      <c r="T189">
        <f t="shared" si="14"/>
        <v>7.0131771595900436E-2</v>
      </c>
    </row>
    <row r="190" spans="1:20" x14ac:dyDescent="0.25">
      <c r="A190" t="str">
        <f t="shared" si="10"/>
        <v>March</v>
      </c>
      <c r="B190" s="5">
        <f t="shared" si="11"/>
        <v>42440</v>
      </c>
      <c r="C190">
        <v>2016</v>
      </c>
      <c r="D190">
        <v>3</v>
      </c>
      <c r="E190">
        <v>11</v>
      </c>
      <c r="F190" s="2">
        <v>74456000</v>
      </c>
      <c r="G190" s="2">
        <v>72164000</v>
      </c>
      <c r="H190" s="2">
        <v>69527000</v>
      </c>
      <c r="I190" s="2">
        <v>37148000</v>
      </c>
      <c r="J190" s="2">
        <v>32379000</v>
      </c>
      <c r="K190" s="2">
        <v>231878508</v>
      </c>
      <c r="L190" s="2">
        <v>59727000</v>
      </c>
      <c r="M190" s="3">
        <v>175.88</v>
      </c>
      <c r="N190" s="4">
        <v>2945</v>
      </c>
      <c r="O190" s="2">
        <v>53295000</v>
      </c>
      <c r="P190" s="3">
        <v>164.06</v>
      </c>
      <c r="Q190" s="4">
        <v>3078</v>
      </c>
      <c r="R190" s="2">
        <f t="shared" si="12"/>
        <v>4929000</v>
      </c>
      <c r="S190">
        <f t="shared" si="13"/>
        <v>0.93379982808638662</v>
      </c>
      <c r="T190">
        <f t="shared" si="14"/>
        <v>6.6200171913613409E-2</v>
      </c>
    </row>
    <row r="191" spans="1:20" x14ac:dyDescent="0.25">
      <c r="A191" t="str">
        <f t="shared" si="10"/>
        <v>March</v>
      </c>
      <c r="B191" s="5">
        <f t="shared" si="11"/>
        <v>42433</v>
      </c>
      <c r="C191">
        <v>2016</v>
      </c>
      <c r="D191">
        <v>3</v>
      </c>
      <c r="E191">
        <v>4</v>
      </c>
      <c r="F191" s="2">
        <v>66723000</v>
      </c>
      <c r="G191" s="2">
        <v>64441000</v>
      </c>
      <c r="H191" s="2">
        <v>62636000</v>
      </c>
      <c r="I191" s="2">
        <v>32600000</v>
      </c>
      <c r="J191" s="2">
        <v>30036000</v>
      </c>
      <c r="K191" s="2">
        <v>212608945</v>
      </c>
      <c r="L191" s="2">
        <v>53508000</v>
      </c>
      <c r="M191" s="3">
        <v>160.16999999999999</v>
      </c>
      <c r="N191" s="4">
        <v>2993</v>
      </c>
      <c r="O191" s="2">
        <v>48309000</v>
      </c>
      <c r="P191" s="3">
        <v>150.57</v>
      </c>
      <c r="Q191" s="4">
        <v>3117</v>
      </c>
      <c r="R191" s="2">
        <f t="shared" si="12"/>
        <v>4087000</v>
      </c>
      <c r="S191">
        <f t="shared" si="13"/>
        <v>0.93874675898865456</v>
      </c>
      <c r="T191">
        <f t="shared" si="14"/>
        <v>6.1253241011345411E-2</v>
      </c>
    </row>
    <row r="192" spans="1:20" x14ac:dyDescent="0.25">
      <c r="A192" t="str">
        <f t="shared" si="10"/>
        <v>February</v>
      </c>
      <c r="B192" s="5">
        <f t="shared" si="11"/>
        <v>42426</v>
      </c>
      <c r="C192">
        <v>2016</v>
      </c>
      <c r="D192">
        <v>2</v>
      </c>
      <c r="E192">
        <v>26</v>
      </c>
      <c r="F192" s="2">
        <v>58304000</v>
      </c>
      <c r="G192" s="2">
        <v>56290000</v>
      </c>
      <c r="H192" s="2">
        <v>55081000</v>
      </c>
      <c r="I192" s="2">
        <v>27709000</v>
      </c>
      <c r="J192" s="2">
        <v>27372000</v>
      </c>
      <c r="K192" s="2">
        <v>193235495</v>
      </c>
      <c r="L192" s="2">
        <v>46533000</v>
      </c>
      <c r="M192" s="3">
        <v>142.09</v>
      </c>
      <c r="N192" s="4">
        <v>3053</v>
      </c>
      <c r="O192" s="2">
        <v>42551000</v>
      </c>
      <c r="P192" s="3">
        <v>134.65</v>
      </c>
      <c r="Q192" s="4">
        <v>3164</v>
      </c>
      <c r="R192" s="2">
        <f t="shared" si="12"/>
        <v>3223000</v>
      </c>
      <c r="S192">
        <f t="shared" si="13"/>
        <v>0.94472077387486275</v>
      </c>
      <c r="T192">
        <f t="shared" si="14"/>
        <v>5.5279226125137214E-2</v>
      </c>
    </row>
    <row r="193" spans="1:20" x14ac:dyDescent="0.25">
      <c r="A193" t="str">
        <f t="shared" si="10"/>
        <v>February</v>
      </c>
      <c r="B193" s="5">
        <f t="shared" si="11"/>
        <v>42419</v>
      </c>
      <c r="C193">
        <v>2016</v>
      </c>
      <c r="D193">
        <v>2</v>
      </c>
      <c r="E193">
        <v>19</v>
      </c>
      <c r="F193" s="2">
        <v>49020000</v>
      </c>
      <c r="G193" s="2">
        <v>47420000</v>
      </c>
      <c r="H193" s="2">
        <v>46758000</v>
      </c>
      <c r="I193" s="2">
        <v>22588000</v>
      </c>
      <c r="J193" s="2">
        <v>24170000</v>
      </c>
      <c r="K193" s="2">
        <v>169616932</v>
      </c>
      <c r="L193" s="2">
        <v>38550000</v>
      </c>
      <c r="M193" s="3">
        <v>120.57</v>
      </c>
      <c r="N193" s="4">
        <v>3128</v>
      </c>
      <c r="O193" s="2">
        <v>35720000</v>
      </c>
      <c r="P193" s="3">
        <v>115.23</v>
      </c>
      <c r="Q193" s="4">
        <v>3226</v>
      </c>
      <c r="R193" s="2">
        <f t="shared" si="12"/>
        <v>2262000</v>
      </c>
      <c r="S193">
        <f t="shared" si="13"/>
        <v>0.95385556915544678</v>
      </c>
      <c r="T193">
        <f t="shared" si="14"/>
        <v>4.6144430844553247E-2</v>
      </c>
    </row>
    <row r="194" spans="1:20" x14ac:dyDescent="0.25">
      <c r="A194" t="str">
        <f t="shared" si="10"/>
        <v>February</v>
      </c>
      <c r="B194" s="5">
        <f t="shared" si="11"/>
        <v>42412</v>
      </c>
      <c r="C194">
        <v>2016</v>
      </c>
      <c r="D194">
        <v>2</v>
      </c>
      <c r="E194">
        <v>12</v>
      </c>
      <c r="F194" s="2">
        <v>38737000</v>
      </c>
      <c r="G194" s="2">
        <v>37672000</v>
      </c>
      <c r="H194" s="2">
        <v>37106000</v>
      </c>
      <c r="I194" s="2">
        <v>17122000</v>
      </c>
      <c r="J194" s="2">
        <v>19984000</v>
      </c>
      <c r="K194" s="2">
        <v>140786322</v>
      </c>
      <c r="L194" s="2">
        <v>29155000</v>
      </c>
      <c r="M194" s="3">
        <v>94</v>
      </c>
      <c r="N194" s="4">
        <v>3224</v>
      </c>
      <c r="O194" s="2">
        <v>27367000</v>
      </c>
      <c r="P194" s="3">
        <v>90.56</v>
      </c>
      <c r="Q194" s="4">
        <v>3309</v>
      </c>
      <c r="R194" s="2">
        <f t="shared" si="12"/>
        <v>1631000</v>
      </c>
      <c r="S194">
        <f t="shared" si="13"/>
        <v>0.95789555205617372</v>
      </c>
      <c r="T194">
        <f t="shared" si="14"/>
        <v>4.2104447943826319E-2</v>
      </c>
    </row>
    <row r="195" spans="1:20" x14ac:dyDescent="0.25">
      <c r="A195" t="str">
        <f t="shared" si="10"/>
        <v>February</v>
      </c>
      <c r="B195" s="5">
        <f t="shared" si="11"/>
        <v>42405</v>
      </c>
      <c r="C195">
        <v>2016</v>
      </c>
      <c r="D195">
        <v>2</v>
      </c>
      <c r="E195">
        <v>5</v>
      </c>
      <c r="F195" s="2">
        <v>26670000</v>
      </c>
      <c r="G195" s="2">
        <v>26133000</v>
      </c>
      <c r="H195" s="2">
        <v>25656000</v>
      </c>
      <c r="I195" s="2">
        <v>11010000</v>
      </c>
      <c r="J195" s="2">
        <v>14646000</v>
      </c>
      <c r="K195" s="2">
        <v>97487501</v>
      </c>
      <c r="L195" s="2">
        <v>17321000</v>
      </c>
      <c r="M195" s="3">
        <v>58.63</v>
      </c>
      <c r="N195" s="4">
        <v>3385</v>
      </c>
      <c r="O195" s="2">
        <v>16533000</v>
      </c>
      <c r="P195" s="3">
        <v>57.05</v>
      </c>
      <c r="Q195" s="4">
        <v>3450</v>
      </c>
      <c r="R195" s="2">
        <f t="shared" si="12"/>
        <v>1014000</v>
      </c>
      <c r="S195">
        <f t="shared" si="13"/>
        <v>0.9619797525309336</v>
      </c>
      <c r="T195">
        <f t="shared" si="14"/>
        <v>3.8020247469066369E-2</v>
      </c>
    </row>
    <row r="196" spans="1:20" x14ac:dyDescent="0.25">
      <c r="A196" t="str">
        <f t="shared" si="10"/>
        <v>January</v>
      </c>
      <c r="B196" s="5">
        <f t="shared" si="11"/>
        <v>42398</v>
      </c>
      <c r="C196">
        <v>2016</v>
      </c>
      <c r="D196">
        <v>1</v>
      </c>
      <c r="E196">
        <v>29</v>
      </c>
      <c r="F196" s="2">
        <v>13288000</v>
      </c>
      <c r="G196" s="2">
        <v>13124000</v>
      </c>
      <c r="H196" s="2">
        <v>12585000</v>
      </c>
      <c r="I196" s="2">
        <v>5106000</v>
      </c>
      <c r="J196" s="2">
        <v>7479000</v>
      </c>
      <c r="K196" s="2">
        <v>53386675</v>
      </c>
      <c r="L196" s="2">
        <v>2248000</v>
      </c>
      <c r="M196" s="3">
        <v>7.84</v>
      </c>
      <c r="N196" s="4">
        <v>3486</v>
      </c>
      <c r="O196" s="2">
        <v>2175000</v>
      </c>
      <c r="P196" s="3">
        <v>7.69</v>
      </c>
      <c r="Q196" s="4">
        <v>3536</v>
      </c>
      <c r="R196" s="2">
        <f t="shared" si="12"/>
        <v>703000</v>
      </c>
      <c r="S196">
        <f t="shared" si="13"/>
        <v>0.94709512341962676</v>
      </c>
      <c r="T196">
        <f t="shared" si="14"/>
        <v>5.2904876580373267E-2</v>
      </c>
    </row>
    <row r="197" spans="1:20" x14ac:dyDescent="0.25">
      <c r="A197" t="str">
        <f t="shared" ref="A197:A260" si="15">TEXT(B197,"mmmm")</f>
        <v>December</v>
      </c>
      <c r="B197" s="5">
        <f t="shared" ref="B197:B260" si="16">DATE(C197,D197,E197)</f>
        <v>42363</v>
      </c>
      <c r="C197">
        <v>2015</v>
      </c>
      <c r="D197">
        <v>12</v>
      </c>
      <c r="E197">
        <v>25</v>
      </c>
      <c r="F197" s="2">
        <v>150991000</v>
      </c>
      <c r="G197" s="2">
        <v>150727000</v>
      </c>
      <c r="H197" s="2">
        <v>128784000</v>
      </c>
      <c r="I197" s="2">
        <v>78406000</v>
      </c>
      <c r="J197" s="2">
        <v>50378000</v>
      </c>
      <c r="K197" s="2">
        <v>490314213</v>
      </c>
      <c r="L197" s="2">
        <v>109426000</v>
      </c>
      <c r="M197" s="3">
        <v>306.02</v>
      </c>
      <c r="N197" s="4">
        <v>2797</v>
      </c>
      <c r="O197" s="2">
        <v>86228000</v>
      </c>
      <c r="P197" s="3">
        <v>254.94</v>
      </c>
      <c r="Q197" s="4">
        <v>2957</v>
      </c>
      <c r="R197" s="2">
        <f t="shared" ref="R197:R260" si="17">F197-H197</f>
        <v>22207000</v>
      </c>
      <c r="S197">
        <f t="shared" ref="S197:S260" si="18">H197/F197</f>
        <v>0.85292500877535748</v>
      </c>
      <c r="T197">
        <f t="shared" ref="T197:T260" si="19">R197/F197</f>
        <v>0.14707499122464252</v>
      </c>
    </row>
    <row r="198" spans="1:20" x14ac:dyDescent="0.25">
      <c r="A198" t="str">
        <f t="shared" si="15"/>
        <v>December</v>
      </c>
      <c r="B198" s="5">
        <f t="shared" si="16"/>
        <v>42342</v>
      </c>
      <c r="C198">
        <v>2015</v>
      </c>
      <c r="D198">
        <v>12</v>
      </c>
      <c r="E198">
        <v>4</v>
      </c>
      <c r="F198" s="2">
        <v>150655000</v>
      </c>
      <c r="G198" s="2">
        <v>150356000</v>
      </c>
      <c r="H198" s="2">
        <v>128784000</v>
      </c>
      <c r="I198" s="2">
        <v>78406000</v>
      </c>
      <c r="J198" s="2">
        <v>50378000</v>
      </c>
      <c r="K198" s="2">
        <v>471766005</v>
      </c>
      <c r="L198" s="2">
        <v>109346000</v>
      </c>
      <c r="M198" s="3">
        <v>305.44</v>
      </c>
      <c r="N198" s="4">
        <v>2793</v>
      </c>
      <c r="O198" s="2">
        <v>86188000</v>
      </c>
      <c r="P198" s="3">
        <v>254.68</v>
      </c>
      <c r="Q198" s="4">
        <v>2955</v>
      </c>
      <c r="R198" s="2">
        <f t="shared" si="17"/>
        <v>21871000</v>
      </c>
      <c r="S198">
        <f t="shared" si="18"/>
        <v>0.8548272543227905</v>
      </c>
      <c r="T198">
        <f t="shared" si="19"/>
        <v>0.14517274567720953</v>
      </c>
    </row>
    <row r="199" spans="1:20" x14ac:dyDescent="0.25">
      <c r="A199" t="str">
        <f t="shared" si="15"/>
        <v>November</v>
      </c>
      <c r="B199" s="5">
        <f t="shared" si="16"/>
        <v>42328</v>
      </c>
      <c r="C199">
        <v>2015</v>
      </c>
      <c r="D199">
        <v>11</v>
      </c>
      <c r="E199">
        <v>20</v>
      </c>
      <c r="F199" s="2">
        <v>150497000</v>
      </c>
      <c r="G199" s="2">
        <v>150102000</v>
      </c>
      <c r="H199" s="2">
        <v>128784000</v>
      </c>
      <c r="I199" s="2">
        <v>78406000</v>
      </c>
      <c r="J199" s="2">
        <v>50378000</v>
      </c>
      <c r="K199" s="2">
        <v>464880260</v>
      </c>
      <c r="L199" s="2">
        <v>109171000</v>
      </c>
      <c r="M199" s="3">
        <v>304</v>
      </c>
      <c r="N199" s="4">
        <v>2785</v>
      </c>
      <c r="O199" s="2">
        <v>86145000</v>
      </c>
      <c r="P199" s="3">
        <v>254.28</v>
      </c>
      <c r="Q199" s="4">
        <v>2952</v>
      </c>
      <c r="R199" s="2">
        <f t="shared" si="17"/>
        <v>21713000</v>
      </c>
      <c r="S199">
        <f t="shared" si="18"/>
        <v>0.85572469883120594</v>
      </c>
      <c r="T199">
        <f t="shared" si="19"/>
        <v>0.14427530116879406</v>
      </c>
    </row>
    <row r="200" spans="1:20" x14ac:dyDescent="0.25">
      <c r="A200" t="str">
        <f t="shared" si="15"/>
        <v>October</v>
      </c>
      <c r="B200" s="5">
        <f t="shared" si="16"/>
        <v>42307</v>
      </c>
      <c r="C200">
        <v>2015</v>
      </c>
      <c r="D200">
        <v>10</v>
      </c>
      <c r="E200">
        <v>30</v>
      </c>
      <c r="F200" s="2">
        <v>150062000</v>
      </c>
      <c r="G200" s="2">
        <v>149351000</v>
      </c>
      <c r="H200" s="2">
        <v>128653000</v>
      </c>
      <c r="I200" s="2">
        <v>78279000</v>
      </c>
      <c r="J200" s="2">
        <v>50374000</v>
      </c>
      <c r="K200" s="2">
        <v>451563658</v>
      </c>
      <c r="L200" s="2">
        <v>108739000</v>
      </c>
      <c r="M200" s="3">
        <v>298.60000000000002</v>
      </c>
      <c r="N200" s="4">
        <v>2746</v>
      </c>
      <c r="O200" s="2">
        <v>86014000</v>
      </c>
      <c r="P200" s="3">
        <v>252.47</v>
      </c>
      <c r="Q200" s="4">
        <v>2935</v>
      </c>
      <c r="R200" s="2">
        <f t="shared" si="17"/>
        <v>21409000</v>
      </c>
      <c r="S200">
        <f t="shared" si="18"/>
        <v>0.85733230264823868</v>
      </c>
      <c r="T200">
        <f t="shared" si="19"/>
        <v>0.14266769735176127</v>
      </c>
    </row>
    <row r="201" spans="1:20" x14ac:dyDescent="0.25">
      <c r="A201" t="str">
        <f t="shared" si="15"/>
        <v>October</v>
      </c>
      <c r="B201" s="5">
        <f t="shared" si="16"/>
        <v>42300</v>
      </c>
      <c r="C201">
        <v>2015</v>
      </c>
      <c r="D201">
        <v>10</v>
      </c>
      <c r="E201">
        <v>23</v>
      </c>
      <c r="F201" s="2">
        <v>149821000</v>
      </c>
      <c r="G201" s="2">
        <v>149048000</v>
      </c>
      <c r="H201" s="2">
        <v>128606000</v>
      </c>
      <c r="I201" s="2">
        <v>78234000</v>
      </c>
      <c r="J201" s="2">
        <v>50372000</v>
      </c>
      <c r="K201" s="2">
        <v>446316318</v>
      </c>
      <c r="L201" s="2">
        <v>108465000</v>
      </c>
      <c r="M201" s="3">
        <v>296</v>
      </c>
      <c r="N201" s="4">
        <v>2729</v>
      </c>
      <c r="O201" s="2">
        <v>85904000</v>
      </c>
      <c r="P201" s="3">
        <v>251.29</v>
      </c>
      <c r="Q201" s="4">
        <v>2925</v>
      </c>
      <c r="R201" s="2">
        <f t="shared" si="17"/>
        <v>21215000</v>
      </c>
      <c r="S201">
        <f t="shared" si="18"/>
        <v>0.85839768790756965</v>
      </c>
      <c r="T201">
        <f t="shared" si="19"/>
        <v>0.14160231209243029</v>
      </c>
    </row>
    <row r="202" spans="1:20" x14ac:dyDescent="0.25">
      <c r="A202" t="str">
        <f t="shared" si="15"/>
        <v>September</v>
      </c>
      <c r="B202" s="5">
        <f t="shared" si="16"/>
        <v>42272</v>
      </c>
      <c r="C202">
        <v>2015</v>
      </c>
      <c r="D202">
        <v>9</v>
      </c>
      <c r="E202">
        <v>25</v>
      </c>
      <c r="F202" s="2">
        <v>145088000</v>
      </c>
      <c r="G202" s="2">
        <v>144815000</v>
      </c>
      <c r="H202" s="2">
        <v>124840000</v>
      </c>
      <c r="I202" s="2">
        <v>74940000</v>
      </c>
      <c r="J202" s="2">
        <v>49900000</v>
      </c>
      <c r="K202" s="2">
        <v>428728525</v>
      </c>
      <c r="L202" s="2">
        <v>106981000</v>
      </c>
      <c r="M202" s="3">
        <v>289.79000000000002</v>
      </c>
      <c r="N202" s="4">
        <v>2709</v>
      </c>
      <c r="O202" s="2">
        <v>85090000</v>
      </c>
      <c r="P202" s="3">
        <v>247.52</v>
      </c>
      <c r="Q202" s="4">
        <v>2909</v>
      </c>
      <c r="R202" s="2">
        <f t="shared" si="17"/>
        <v>20248000</v>
      </c>
      <c r="S202">
        <f t="shared" si="18"/>
        <v>0.86044331715924127</v>
      </c>
      <c r="T202">
        <f t="shared" si="19"/>
        <v>0.1395566828407587</v>
      </c>
    </row>
    <row r="203" spans="1:20" x14ac:dyDescent="0.25">
      <c r="A203" t="str">
        <f t="shared" si="15"/>
        <v>August</v>
      </c>
      <c r="B203" s="5">
        <f t="shared" si="16"/>
        <v>42244</v>
      </c>
      <c r="C203">
        <v>2015</v>
      </c>
      <c r="D203">
        <v>8</v>
      </c>
      <c r="E203">
        <v>28</v>
      </c>
      <c r="F203" s="2">
        <v>143780000</v>
      </c>
      <c r="G203" s="2">
        <v>143526000</v>
      </c>
      <c r="H203" s="2">
        <v>123945000</v>
      </c>
      <c r="I203" s="2">
        <v>74154000</v>
      </c>
      <c r="J203" s="2">
        <v>49791000</v>
      </c>
      <c r="K203" s="2">
        <v>411675144</v>
      </c>
      <c r="L203" s="2">
        <v>106298000</v>
      </c>
      <c r="M203" s="3">
        <v>287.39999999999998</v>
      </c>
      <c r="N203" s="4">
        <v>2704</v>
      </c>
      <c r="O203" s="2">
        <v>84781000</v>
      </c>
      <c r="P203" s="3">
        <v>246.21</v>
      </c>
      <c r="Q203" s="4">
        <v>2904</v>
      </c>
      <c r="R203" s="2">
        <f t="shared" si="17"/>
        <v>19835000</v>
      </c>
      <c r="S203">
        <f t="shared" si="18"/>
        <v>0.86204618166643487</v>
      </c>
      <c r="T203">
        <f t="shared" si="19"/>
        <v>0.13795381833356518</v>
      </c>
    </row>
    <row r="204" spans="1:20" x14ac:dyDescent="0.25">
      <c r="A204" t="str">
        <f t="shared" si="15"/>
        <v>July</v>
      </c>
      <c r="B204" s="5">
        <f t="shared" si="16"/>
        <v>42216</v>
      </c>
      <c r="C204">
        <v>2015</v>
      </c>
      <c r="D204">
        <v>7</v>
      </c>
      <c r="E204">
        <v>31</v>
      </c>
      <c r="F204" s="2">
        <v>142603000</v>
      </c>
      <c r="G204" s="2">
        <v>142244000</v>
      </c>
      <c r="H204" s="2">
        <v>123199000</v>
      </c>
      <c r="I204" s="2">
        <v>73529000</v>
      </c>
      <c r="J204" s="2">
        <v>49670000</v>
      </c>
      <c r="K204" s="2">
        <v>393555113</v>
      </c>
      <c r="L204" s="2">
        <v>105490000</v>
      </c>
      <c r="M204" s="3">
        <v>284.77999999999997</v>
      </c>
      <c r="N204" s="4">
        <v>2700</v>
      </c>
      <c r="O204" s="2">
        <v>84421000</v>
      </c>
      <c r="P204" s="3">
        <v>244.78</v>
      </c>
      <c r="Q204" s="4">
        <v>2900</v>
      </c>
      <c r="R204" s="2">
        <f t="shared" si="17"/>
        <v>19404000</v>
      </c>
      <c r="S204">
        <f t="shared" si="18"/>
        <v>0.86392993134786789</v>
      </c>
      <c r="T204">
        <f t="shared" si="19"/>
        <v>0.13607006865213214</v>
      </c>
    </row>
    <row r="205" spans="1:20" x14ac:dyDescent="0.25">
      <c r="A205" t="str">
        <f t="shared" si="15"/>
        <v>May</v>
      </c>
      <c r="B205" s="5">
        <f t="shared" si="16"/>
        <v>42139</v>
      </c>
      <c r="C205">
        <v>2015</v>
      </c>
      <c r="D205">
        <v>5</v>
      </c>
      <c r="E205">
        <v>15</v>
      </c>
      <c r="F205" s="2">
        <v>138209000</v>
      </c>
      <c r="G205" s="2">
        <v>133403000</v>
      </c>
      <c r="H205" s="2">
        <v>120612000</v>
      </c>
      <c r="I205" s="2">
        <v>71417000</v>
      </c>
      <c r="J205" s="2">
        <v>49195000</v>
      </c>
      <c r="K205" s="2">
        <v>334566853</v>
      </c>
      <c r="L205" s="2">
        <v>101407000</v>
      </c>
      <c r="M205" s="3">
        <v>273.55</v>
      </c>
      <c r="N205" s="4">
        <v>2698</v>
      </c>
      <c r="O205" s="2">
        <v>82531000</v>
      </c>
      <c r="P205" s="3">
        <v>238.3</v>
      </c>
      <c r="Q205" s="4">
        <v>2887</v>
      </c>
      <c r="R205" s="2">
        <f t="shared" si="17"/>
        <v>17597000</v>
      </c>
      <c r="S205">
        <f t="shared" si="18"/>
        <v>0.87267833498542058</v>
      </c>
      <c r="T205">
        <f t="shared" si="19"/>
        <v>0.12732166501457937</v>
      </c>
    </row>
    <row r="206" spans="1:20" x14ac:dyDescent="0.25">
      <c r="A206" t="str">
        <f t="shared" si="15"/>
        <v>May</v>
      </c>
      <c r="B206" s="5">
        <f t="shared" si="16"/>
        <v>42132</v>
      </c>
      <c r="C206">
        <v>2015</v>
      </c>
      <c r="D206">
        <v>5</v>
      </c>
      <c r="E206">
        <v>8</v>
      </c>
      <c r="F206" s="2">
        <v>137312000</v>
      </c>
      <c r="G206" s="2">
        <v>131852000</v>
      </c>
      <c r="H206" s="2">
        <v>120253000</v>
      </c>
      <c r="I206" s="2">
        <v>71135000</v>
      </c>
      <c r="J206" s="2">
        <v>49118000</v>
      </c>
      <c r="K206" s="2">
        <v>326306561</v>
      </c>
      <c r="L206" s="2">
        <v>100320000</v>
      </c>
      <c r="M206" s="3">
        <v>270.99</v>
      </c>
      <c r="N206" s="4">
        <v>2701</v>
      </c>
      <c r="O206" s="2">
        <v>82029000</v>
      </c>
      <c r="P206" s="3">
        <v>236.89</v>
      </c>
      <c r="Q206" s="4">
        <v>2888</v>
      </c>
      <c r="R206" s="2">
        <f t="shared" si="17"/>
        <v>17059000</v>
      </c>
      <c r="S206">
        <f t="shared" si="18"/>
        <v>0.87576468189233281</v>
      </c>
      <c r="T206">
        <f t="shared" si="19"/>
        <v>0.12423531810766721</v>
      </c>
    </row>
    <row r="207" spans="1:20" x14ac:dyDescent="0.25">
      <c r="A207" t="str">
        <f t="shared" si="15"/>
        <v>May</v>
      </c>
      <c r="B207" s="5">
        <f t="shared" si="16"/>
        <v>42125</v>
      </c>
      <c r="C207">
        <v>2015</v>
      </c>
      <c r="D207">
        <v>5</v>
      </c>
      <c r="E207">
        <v>1</v>
      </c>
      <c r="F207" s="2">
        <v>136191000</v>
      </c>
      <c r="G207" s="2">
        <v>130145000</v>
      </c>
      <c r="H207" s="2">
        <v>119865000</v>
      </c>
      <c r="I207" s="2">
        <v>70835000</v>
      </c>
      <c r="J207" s="2">
        <v>49030000</v>
      </c>
      <c r="K207" s="2">
        <v>320834027</v>
      </c>
      <c r="L207" s="2">
        <v>99020000</v>
      </c>
      <c r="M207" s="3">
        <v>267.61</v>
      </c>
      <c r="N207" s="4">
        <v>2703</v>
      </c>
      <c r="O207" s="2">
        <v>81425000</v>
      </c>
      <c r="P207" s="3">
        <v>235.03</v>
      </c>
      <c r="Q207" s="4">
        <v>2887</v>
      </c>
      <c r="R207" s="2">
        <f t="shared" si="17"/>
        <v>16326000</v>
      </c>
      <c r="S207">
        <f t="shared" si="18"/>
        <v>0.88012423728440203</v>
      </c>
      <c r="T207">
        <f t="shared" si="19"/>
        <v>0.11987576271559795</v>
      </c>
    </row>
    <row r="208" spans="1:20" x14ac:dyDescent="0.25">
      <c r="A208" t="str">
        <f t="shared" si="15"/>
        <v>April</v>
      </c>
      <c r="B208" s="5">
        <f t="shared" si="16"/>
        <v>42118</v>
      </c>
      <c r="C208">
        <v>2015</v>
      </c>
      <c r="D208">
        <v>4</v>
      </c>
      <c r="E208">
        <v>24</v>
      </c>
      <c r="F208" s="2">
        <v>134209000</v>
      </c>
      <c r="G208" s="2">
        <v>128317000</v>
      </c>
      <c r="H208" s="2">
        <v>119402000</v>
      </c>
      <c r="I208" s="2">
        <v>70491000</v>
      </c>
      <c r="J208" s="2">
        <v>48911000</v>
      </c>
      <c r="K208" s="2">
        <v>310407523</v>
      </c>
      <c r="L208" s="2">
        <v>97097000</v>
      </c>
      <c r="M208" s="3">
        <v>262.19</v>
      </c>
      <c r="N208" s="4">
        <v>2700</v>
      </c>
      <c r="O208" s="2">
        <v>80383000</v>
      </c>
      <c r="P208" s="3">
        <v>231.69</v>
      </c>
      <c r="Q208" s="4">
        <v>2882</v>
      </c>
      <c r="R208" s="2">
        <f t="shared" si="17"/>
        <v>14807000</v>
      </c>
      <c r="S208">
        <f t="shared" si="18"/>
        <v>0.88967207862363928</v>
      </c>
      <c r="T208">
        <f t="shared" si="19"/>
        <v>0.11032792137636076</v>
      </c>
    </row>
    <row r="209" spans="1:20" x14ac:dyDescent="0.25">
      <c r="A209" t="str">
        <f t="shared" si="15"/>
        <v>April</v>
      </c>
      <c r="B209" s="5">
        <f t="shared" si="16"/>
        <v>42111</v>
      </c>
      <c r="C209">
        <v>2015</v>
      </c>
      <c r="D209">
        <v>4</v>
      </c>
      <c r="E209">
        <v>17</v>
      </c>
      <c r="F209" s="2">
        <v>132268000</v>
      </c>
      <c r="G209" s="2">
        <v>126121000</v>
      </c>
      <c r="H209" s="2">
        <v>118766000</v>
      </c>
      <c r="I209" s="2">
        <v>70064000</v>
      </c>
      <c r="J209" s="2">
        <v>48702000</v>
      </c>
      <c r="K209" s="2">
        <v>300060301</v>
      </c>
      <c r="L209" s="2">
        <v>91818000</v>
      </c>
      <c r="M209" s="3">
        <v>248.92</v>
      </c>
      <c r="N209" s="4">
        <v>2711</v>
      </c>
      <c r="O209" s="2">
        <v>76824000</v>
      </c>
      <c r="P209" s="3">
        <v>222</v>
      </c>
      <c r="Q209" s="4">
        <v>2890</v>
      </c>
      <c r="R209" s="2">
        <f t="shared" si="17"/>
        <v>13502000</v>
      </c>
      <c r="S209">
        <f t="shared" si="18"/>
        <v>0.89791937581274384</v>
      </c>
      <c r="T209">
        <f t="shared" si="19"/>
        <v>0.10208062418725618</v>
      </c>
    </row>
    <row r="210" spans="1:20" x14ac:dyDescent="0.25">
      <c r="A210" t="str">
        <f t="shared" si="15"/>
        <v>April</v>
      </c>
      <c r="B210" s="5">
        <f t="shared" si="16"/>
        <v>42104</v>
      </c>
      <c r="C210">
        <v>2015</v>
      </c>
      <c r="D210">
        <v>4</v>
      </c>
      <c r="E210">
        <v>10</v>
      </c>
      <c r="F210" s="2">
        <v>110754000</v>
      </c>
      <c r="G210" s="2">
        <v>108000000</v>
      </c>
      <c r="H210" s="2">
        <v>100759000</v>
      </c>
      <c r="I210" s="2">
        <v>59976000</v>
      </c>
      <c r="J210" s="2">
        <v>40783000</v>
      </c>
      <c r="K210" s="2">
        <v>274611418</v>
      </c>
      <c r="L210" s="2">
        <v>83184000</v>
      </c>
      <c r="M210" s="3">
        <v>230.92</v>
      </c>
      <c r="N210" s="4">
        <v>2776</v>
      </c>
      <c r="O210" s="2">
        <v>70510000</v>
      </c>
      <c r="P210" s="3">
        <v>207.79</v>
      </c>
      <c r="Q210" s="4">
        <v>2947</v>
      </c>
      <c r="R210" s="2">
        <f t="shared" si="17"/>
        <v>9995000</v>
      </c>
      <c r="S210">
        <f t="shared" si="18"/>
        <v>0.9097549524170685</v>
      </c>
      <c r="T210">
        <f t="shared" si="19"/>
        <v>9.0245047582931545E-2</v>
      </c>
    </row>
    <row r="211" spans="1:20" x14ac:dyDescent="0.25">
      <c r="A211" t="str">
        <f t="shared" si="15"/>
        <v>April</v>
      </c>
      <c r="B211" s="5">
        <f t="shared" si="16"/>
        <v>42097</v>
      </c>
      <c r="C211">
        <v>2015</v>
      </c>
      <c r="D211">
        <v>4</v>
      </c>
      <c r="E211">
        <v>3</v>
      </c>
      <c r="F211" s="2">
        <v>99056000</v>
      </c>
      <c r="G211" s="2">
        <v>96992000</v>
      </c>
      <c r="H211" s="2">
        <v>90608000</v>
      </c>
      <c r="I211" s="2">
        <v>52963000</v>
      </c>
      <c r="J211" s="2">
        <v>37645000</v>
      </c>
      <c r="K211" s="2">
        <v>258535303</v>
      </c>
      <c r="L211" s="2">
        <v>77200000</v>
      </c>
      <c r="M211" s="3">
        <v>217.35</v>
      </c>
      <c r="N211" s="4">
        <v>2815</v>
      </c>
      <c r="O211" s="2">
        <v>66179000</v>
      </c>
      <c r="P211" s="3">
        <v>197.13</v>
      </c>
      <c r="Q211" s="4">
        <v>2979</v>
      </c>
      <c r="R211" s="2">
        <f t="shared" si="17"/>
        <v>8448000</v>
      </c>
      <c r="S211">
        <f t="shared" si="18"/>
        <v>0.91471490873849137</v>
      </c>
      <c r="T211">
        <f t="shared" si="19"/>
        <v>8.5285091261508642E-2</v>
      </c>
    </row>
    <row r="212" spans="1:20" x14ac:dyDescent="0.25">
      <c r="A212" t="str">
        <f t="shared" si="15"/>
        <v>March</v>
      </c>
      <c r="B212" s="5">
        <f t="shared" si="16"/>
        <v>42090</v>
      </c>
      <c r="C212">
        <v>2015</v>
      </c>
      <c r="D212">
        <v>3</v>
      </c>
      <c r="E212">
        <v>27</v>
      </c>
      <c r="F212" s="2">
        <v>90255000</v>
      </c>
      <c r="G212" s="2">
        <v>88298000</v>
      </c>
      <c r="H212" s="2">
        <v>82905000</v>
      </c>
      <c r="I212" s="2">
        <v>47565000</v>
      </c>
      <c r="J212" s="2">
        <v>35340000</v>
      </c>
      <c r="K212" s="2">
        <v>243272673</v>
      </c>
      <c r="L212" s="2">
        <v>71685000</v>
      </c>
      <c r="M212" s="3">
        <v>204.5</v>
      </c>
      <c r="N212" s="4">
        <v>2853</v>
      </c>
      <c r="O212" s="2">
        <v>62129000</v>
      </c>
      <c r="P212" s="3">
        <v>186.87</v>
      </c>
      <c r="Q212" s="4">
        <v>3008</v>
      </c>
      <c r="R212" s="2">
        <f t="shared" si="17"/>
        <v>7350000</v>
      </c>
      <c r="S212">
        <f t="shared" si="18"/>
        <v>0.91856406847266081</v>
      </c>
      <c r="T212">
        <f t="shared" si="19"/>
        <v>8.1435931527339203E-2</v>
      </c>
    </row>
    <row r="213" spans="1:20" x14ac:dyDescent="0.25">
      <c r="A213" t="str">
        <f t="shared" si="15"/>
        <v>March</v>
      </c>
      <c r="B213" s="5">
        <f t="shared" si="16"/>
        <v>42083</v>
      </c>
      <c r="C213">
        <v>2015</v>
      </c>
      <c r="D213">
        <v>3</v>
      </c>
      <c r="E213">
        <v>20</v>
      </c>
      <c r="F213" s="2">
        <v>82289000</v>
      </c>
      <c r="G213" s="2">
        <v>80439000</v>
      </c>
      <c r="H213" s="2">
        <v>76022000</v>
      </c>
      <c r="I213" s="2">
        <v>42711000</v>
      </c>
      <c r="J213" s="2">
        <v>33311000</v>
      </c>
      <c r="K213" s="2">
        <v>227702714</v>
      </c>
      <c r="L213" s="2">
        <v>66108000</v>
      </c>
      <c r="M213" s="3">
        <v>191.23</v>
      </c>
      <c r="N213" s="4">
        <v>2893</v>
      </c>
      <c r="O213" s="2">
        <v>57944000</v>
      </c>
      <c r="P213" s="3">
        <v>176.06</v>
      </c>
      <c r="Q213" s="4">
        <v>3038</v>
      </c>
      <c r="R213" s="2">
        <f t="shared" si="17"/>
        <v>6267000</v>
      </c>
      <c r="S213">
        <f t="shared" si="18"/>
        <v>0.92384158271457906</v>
      </c>
      <c r="T213">
        <f t="shared" si="19"/>
        <v>7.6158417285420901E-2</v>
      </c>
    </row>
    <row r="214" spans="1:20" x14ac:dyDescent="0.25">
      <c r="A214" t="str">
        <f t="shared" si="15"/>
        <v>March</v>
      </c>
      <c r="B214" s="5">
        <f t="shared" si="16"/>
        <v>42076</v>
      </c>
      <c r="C214">
        <v>2015</v>
      </c>
      <c r="D214">
        <v>3</v>
      </c>
      <c r="E214">
        <v>13</v>
      </c>
      <c r="F214" s="2">
        <v>74455000</v>
      </c>
      <c r="G214" s="2">
        <v>72706000</v>
      </c>
      <c r="H214" s="2">
        <v>69189000</v>
      </c>
      <c r="I214" s="2">
        <v>38089000</v>
      </c>
      <c r="J214" s="2">
        <v>31100000</v>
      </c>
      <c r="K214" s="2">
        <v>211432154</v>
      </c>
      <c r="L214" s="2">
        <v>60320000</v>
      </c>
      <c r="M214" s="3">
        <v>177.24</v>
      </c>
      <c r="N214" s="4">
        <v>2938</v>
      </c>
      <c r="O214" s="2">
        <v>53485000</v>
      </c>
      <c r="P214" s="3">
        <v>164.41</v>
      </c>
      <c r="Q214" s="4">
        <v>3074</v>
      </c>
      <c r="R214" s="2">
        <f t="shared" si="17"/>
        <v>5266000</v>
      </c>
      <c r="S214">
        <f t="shared" si="18"/>
        <v>0.92927271506278963</v>
      </c>
      <c r="T214">
        <f t="shared" si="19"/>
        <v>7.0727284937210394E-2</v>
      </c>
    </row>
    <row r="215" spans="1:20" x14ac:dyDescent="0.25">
      <c r="A215" t="str">
        <f t="shared" si="15"/>
        <v>March</v>
      </c>
      <c r="B215" s="5">
        <f t="shared" si="16"/>
        <v>42069</v>
      </c>
      <c r="C215">
        <v>2015</v>
      </c>
      <c r="D215">
        <v>3</v>
      </c>
      <c r="E215">
        <v>6</v>
      </c>
      <c r="F215" s="2">
        <v>66700000</v>
      </c>
      <c r="G215" s="2">
        <v>64900000</v>
      </c>
      <c r="H215" s="2">
        <v>62342000</v>
      </c>
      <c r="I215" s="2">
        <v>33419000</v>
      </c>
      <c r="J215" s="2">
        <v>28923000</v>
      </c>
      <c r="K215" s="2">
        <v>196652187</v>
      </c>
      <c r="L215" s="2">
        <v>54258000</v>
      </c>
      <c r="M215" s="3">
        <v>162.11000000000001</v>
      </c>
      <c r="N215" s="4">
        <v>2988</v>
      </c>
      <c r="O215" s="2">
        <v>48699000</v>
      </c>
      <c r="P215" s="3">
        <v>151.55000000000001</v>
      </c>
      <c r="Q215" s="4">
        <v>3112</v>
      </c>
      <c r="R215" s="2">
        <f t="shared" si="17"/>
        <v>4358000</v>
      </c>
      <c r="S215">
        <f t="shared" si="18"/>
        <v>0.93466266866566716</v>
      </c>
      <c r="T215">
        <f t="shared" si="19"/>
        <v>6.5337331334332838E-2</v>
      </c>
    </row>
    <row r="216" spans="1:20" x14ac:dyDescent="0.25">
      <c r="A216" t="str">
        <f t="shared" si="15"/>
        <v>February</v>
      </c>
      <c r="B216" s="5">
        <f t="shared" si="16"/>
        <v>42062</v>
      </c>
      <c r="C216">
        <v>2015</v>
      </c>
      <c r="D216">
        <v>2</v>
      </c>
      <c r="E216">
        <v>27</v>
      </c>
      <c r="F216" s="2">
        <v>58528000</v>
      </c>
      <c r="G216" s="2">
        <v>56857000</v>
      </c>
      <c r="H216" s="2">
        <v>55104000</v>
      </c>
      <c r="I216" s="2">
        <v>28733000</v>
      </c>
      <c r="J216" s="2">
        <v>26371000</v>
      </c>
      <c r="K216" s="2">
        <v>177807672</v>
      </c>
      <c r="L216" s="2">
        <v>47547000</v>
      </c>
      <c r="M216" s="3">
        <v>144.9</v>
      </c>
      <c r="N216" s="4">
        <v>3048</v>
      </c>
      <c r="O216" s="2">
        <v>43228000</v>
      </c>
      <c r="P216" s="3">
        <v>136.57</v>
      </c>
      <c r="Q216" s="4">
        <v>3159</v>
      </c>
      <c r="R216" s="2">
        <f t="shared" si="17"/>
        <v>3424000</v>
      </c>
      <c r="S216">
        <f t="shared" si="18"/>
        <v>0.9414980863860033</v>
      </c>
      <c r="T216">
        <f t="shared" si="19"/>
        <v>5.8501913613996717E-2</v>
      </c>
    </row>
    <row r="217" spans="1:20" x14ac:dyDescent="0.25">
      <c r="A217" t="str">
        <f t="shared" si="15"/>
        <v>February</v>
      </c>
      <c r="B217" s="5">
        <f t="shared" si="16"/>
        <v>42055</v>
      </c>
      <c r="C217">
        <v>2015</v>
      </c>
      <c r="D217">
        <v>2</v>
      </c>
      <c r="E217">
        <v>20</v>
      </c>
      <c r="F217" s="2">
        <v>49652000</v>
      </c>
      <c r="G217" s="2">
        <v>48295000</v>
      </c>
      <c r="H217" s="2">
        <v>47157000</v>
      </c>
      <c r="I217" s="2">
        <v>23725000</v>
      </c>
      <c r="J217" s="2">
        <v>23432000</v>
      </c>
      <c r="K217" s="2">
        <v>155780478</v>
      </c>
      <c r="L217" s="2">
        <v>39964000</v>
      </c>
      <c r="M217" s="3">
        <v>124.67</v>
      </c>
      <c r="N217" s="4">
        <v>3120</v>
      </c>
      <c r="O217" s="2">
        <v>36817000</v>
      </c>
      <c r="P217" s="3">
        <v>118.5</v>
      </c>
      <c r="Q217" s="4">
        <v>3219</v>
      </c>
      <c r="R217" s="2">
        <f t="shared" si="17"/>
        <v>2495000</v>
      </c>
      <c r="S217">
        <f t="shared" si="18"/>
        <v>0.94975026182228306</v>
      </c>
      <c r="T217">
        <f t="shared" si="19"/>
        <v>5.0249738177716913E-2</v>
      </c>
    </row>
    <row r="218" spans="1:20" x14ac:dyDescent="0.25">
      <c r="A218" t="str">
        <f t="shared" si="15"/>
        <v>February</v>
      </c>
      <c r="B218" s="5">
        <f t="shared" si="16"/>
        <v>42048</v>
      </c>
      <c r="C218">
        <v>2015</v>
      </c>
      <c r="D218">
        <v>2</v>
      </c>
      <c r="E218">
        <v>13</v>
      </c>
      <c r="F218" s="2">
        <v>39699000</v>
      </c>
      <c r="G218" s="2">
        <v>38669000</v>
      </c>
      <c r="H218" s="2">
        <v>37919000</v>
      </c>
      <c r="I218" s="2">
        <v>18465000</v>
      </c>
      <c r="J218" s="2">
        <v>19454000</v>
      </c>
      <c r="K218" s="2">
        <v>130268292</v>
      </c>
      <c r="L218" s="2">
        <v>30930000</v>
      </c>
      <c r="M218" s="3">
        <v>99.73</v>
      </c>
      <c r="N218" s="4">
        <v>3224</v>
      </c>
      <c r="O218" s="2">
        <v>28884000</v>
      </c>
      <c r="P218" s="3">
        <v>95.58</v>
      </c>
      <c r="Q218" s="4">
        <v>3309</v>
      </c>
      <c r="R218" s="2">
        <f t="shared" si="17"/>
        <v>1780000</v>
      </c>
      <c r="S218">
        <f t="shared" si="18"/>
        <v>0.95516259855411978</v>
      </c>
      <c r="T218">
        <f t="shared" si="19"/>
        <v>4.4837401445880248E-2</v>
      </c>
    </row>
    <row r="219" spans="1:20" x14ac:dyDescent="0.25">
      <c r="A219" t="str">
        <f t="shared" si="15"/>
        <v>February</v>
      </c>
      <c r="B219" s="5">
        <f t="shared" si="16"/>
        <v>42041</v>
      </c>
      <c r="C219">
        <v>2015</v>
      </c>
      <c r="D219">
        <v>2</v>
      </c>
      <c r="E219">
        <v>6</v>
      </c>
      <c r="F219" s="2">
        <v>27517000</v>
      </c>
      <c r="G219" s="2">
        <v>27084000</v>
      </c>
      <c r="H219" s="2">
        <v>26472000</v>
      </c>
      <c r="I219" s="2">
        <v>12135000</v>
      </c>
      <c r="J219" s="2">
        <v>14337000</v>
      </c>
      <c r="K219" s="2">
        <v>97768901</v>
      </c>
      <c r="L219" s="2">
        <v>19651000</v>
      </c>
      <c r="M219" s="3">
        <v>66.14</v>
      </c>
      <c r="N219" s="4">
        <v>3366</v>
      </c>
      <c r="O219" s="2">
        <v>18647000</v>
      </c>
      <c r="P219" s="3">
        <v>63.98</v>
      </c>
      <c r="Q219" s="4">
        <v>3431</v>
      </c>
      <c r="R219" s="2">
        <f t="shared" si="17"/>
        <v>1045000</v>
      </c>
      <c r="S219">
        <f t="shared" si="18"/>
        <v>0.9620234763964095</v>
      </c>
      <c r="T219">
        <f t="shared" si="19"/>
        <v>3.7976523603590509E-2</v>
      </c>
    </row>
    <row r="220" spans="1:20" x14ac:dyDescent="0.25">
      <c r="A220" t="str">
        <f t="shared" si="15"/>
        <v>January</v>
      </c>
      <c r="B220" s="5">
        <f t="shared" si="16"/>
        <v>42034</v>
      </c>
      <c r="C220">
        <v>2015</v>
      </c>
      <c r="D220">
        <v>1</v>
      </c>
      <c r="E220">
        <v>30</v>
      </c>
      <c r="F220" s="2">
        <v>14026000</v>
      </c>
      <c r="G220" s="2">
        <v>13897000</v>
      </c>
      <c r="H220" s="2">
        <v>13327000</v>
      </c>
      <c r="I220" s="2">
        <v>5857000</v>
      </c>
      <c r="J220" s="2">
        <v>7469000</v>
      </c>
      <c r="K220" s="2">
        <v>65561078</v>
      </c>
      <c r="L220" s="2">
        <v>7595000</v>
      </c>
      <c r="M220" s="3">
        <v>26.88</v>
      </c>
      <c r="N220" s="4">
        <v>3539</v>
      </c>
      <c r="O220" s="2">
        <v>7310000</v>
      </c>
      <c r="P220" s="3">
        <v>26.21</v>
      </c>
      <c r="Q220" s="4">
        <v>3586</v>
      </c>
      <c r="R220" s="2">
        <f t="shared" si="17"/>
        <v>699000</v>
      </c>
      <c r="S220">
        <f t="shared" si="18"/>
        <v>0.95016398117781264</v>
      </c>
      <c r="T220">
        <f t="shared" si="19"/>
        <v>4.983601882218737E-2</v>
      </c>
    </row>
    <row r="221" spans="1:20" x14ac:dyDescent="0.25">
      <c r="A221" t="str">
        <f t="shared" si="15"/>
        <v>December</v>
      </c>
      <c r="B221" s="5">
        <f t="shared" si="16"/>
        <v>41999</v>
      </c>
      <c r="C221">
        <v>2014</v>
      </c>
      <c r="D221">
        <v>12</v>
      </c>
      <c r="E221">
        <v>26</v>
      </c>
      <c r="F221" s="2">
        <v>149685000</v>
      </c>
      <c r="G221" s="2">
        <v>149510000</v>
      </c>
      <c r="H221" s="2">
        <v>125821000</v>
      </c>
      <c r="I221" s="2">
        <v>77875000</v>
      </c>
      <c r="J221" s="2">
        <v>47946000</v>
      </c>
      <c r="K221" s="2">
        <v>442134043</v>
      </c>
      <c r="L221" s="2">
        <v>109499000</v>
      </c>
      <c r="M221" s="3">
        <v>305.73</v>
      </c>
      <c r="N221" s="4">
        <v>2792</v>
      </c>
      <c r="O221" s="2">
        <v>83995000</v>
      </c>
      <c r="P221" s="3">
        <v>245.09</v>
      </c>
      <c r="Q221" s="4">
        <v>2918</v>
      </c>
      <c r="R221" s="2">
        <f t="shared" si="17"/>
        <v>23864000</v>
      </c>
      <c r="S221">
        <f t="shared" si="18"/>
        <v>0.84057186758860269</v>
      </c>
      <c r="T221">
        <f t="shared" si="19"/>
        <v>0.15942813241139728</v>
      </c>
    </row>
    <row r="222" spans="1:20" x14ac:dyDescent="0.25">
      <c r="A222" t="str">
        <f t="shared" si="15"/>
        <v>November</v>
      </c>
      <c r="B222" s="5">
        <f t="shared" si="16"/>
        <v>41964</v>
      </c>
      <c r="C222">
        <v>2014</v>
      </c>
      <c r="D222">
        <v>11</v>
      </c>
      <c r="E222">
        <v>21</v>
      </c>
      <c r="F222" s="2">
        <v>149215000</v>
      </c>
      <c r="G222" s="2">
        <v>148954000</v>
      </c>
      <c r="H222" s="2">
        <v>125821000</v>
      </c>
      <c r="I222" s="2">
        <v>77875000</v>
      </c>
      <c r="J222" s="2">
        <v>47946000</v>
      </c>
      <c r="K222" s="2">
        <v>419828804</v>
      </c>
      <c r="L222" s="2">
        <v>109264000</v>
      </c>
      <c r="M222" s="3">
        <v>304.04000000000002</v>
      </c>
      <c r="N222" s="4">
        <v>2783</v>
      </c>
      <c r="O222" s="2">
        <v>83915000</v>
      </c>
      <c r="P222" s="3">
        <v>244.62</v>
      </c>
      <c r="Q222" s="4">
        <v>2915</v>
      </c>
      <c r="R222" s="2">
        <f t="shared" si="17"/>
        <v>23394000</v>
      </c>
      <c r="S222">
        <f t="shared" si="18"/>
        <v>0.84321951546426299</v>
      </c>
      <c r="T222">
        <f t="shared" si="19"/>
        <v>0.15678048453573704</v>
      </c>
    </row>
    <row r="223" spans="1:20" x14ac:dyDescent="0.25">
      <c r="A223" t="str">
        <f t="shared" si="15"/>
        <v>October</v>
      </c>
      <c r="B223" s="5">
        <f t="shared" si="16"/>
        <v>41943</v>
      </c>
      <c r="C223">
        <v>2014</v>
      </c>
      <c r="D223">
        <v>10</v>
      </c>
      <c r="E223">
        <v>31</v>
      </c>
      <c r="F223" s="2">
        <v>148787000</v>
      </c>
      <c r="G223" s="2">
        <v>148112000</v>
      </c>
      <c r="H223" s="2">
        <v>125720000</v>
      </c>
      <c r="I223" s="2">
        <v>77776000</v>
      </c>
      <c r="J223" s="2">
        <v>47944000</v>
      </c>
      <c r="K223" s="2">
        <v>406015057</v>
      </c>
      <c r="L223" s="2">
        <v>108874000</v>
      </c>
      <c r="M223" s="3">
        <v>299.39</v>
      </c>
      <c r="N223" s="4">
        <v>2750</v>
      </c>
      <c r="O223" s="2">
        <v>83806000</v>
      </c>
      <c r="P223" s="3">
        <v>243.24</v>
      </c>
      <c r="Q223" s="4">
        <v>2902</v>
      </c>
      <c r="R223" s="2">
        <f t="shared" si="17"/>
        <v>23067000</v>
      </c>
      <c r="S223">
        <f t="shared" si="18"/>
        <v>0.84496629409827473</v>
      </c>
      <c r="T223">
        <f t="shared" si="19"/>
        <v>0.15503370590172527</v>
      </c>
    </row>
    <row r="224" spans="1:20" x14ac:dyDescent="0.25">
      <c r="A224" t="str">
        <f t="shared" si="15"/>
        <v>September</v>
      </c>
      <c r="B224" s="5">
        <f t="shared" si="16"/>
        <v>41908</v>
      </c>
      <c r="C224">
        <v>2014</v>
      </c>
      <c r="D224">
        <v>9</v>
      </c>
      <c r="E224">
        <v>26</v>
      </c>
      <c r="F224" s="2">
        <v>143912000</v>
      </c>
      <c r="G224" s="2">
        <v>143715000</v>
      </c>
      <c r="H224" s="2">
        <v>122102000</v>
      </c>
      <c r="I224" s="2">
        <v>74638000</v>
      </c>
      <c r="J224" s="2">
        <v>47464000</v>
      </c>
      <c r="K224" s="2">
        <v>382306729</v>
      </c>
      <c r="L224" s="2">
        <v>107187000</v>
      </c>
      <c r="M224" s="3">
        <v>290.16000000000003</v>
      </c>
      <c r="N224" s="4">
        <v>2707</v>
      </c>
      <c r="O224" s="2">
        <v>82929000</v>
      </c>
      <c r="P224" s="3">
        <v>238.34</v>
      </c>
      <c r="Q224" s="4">
        <v>2874</v>
      </c>
      <c r="R224" s="2">
        <f t="shared" si="17"/>
        <v>21810000</v>
      </c>
      <c r="S224">
        <f t="shared" si="18"/>
        <v>0.84844905219856581</v>
      </c>
      <c r="T224">
        <f t="shared" si="19"/>
        <v>0.15155094780143422</v>
      </c>
    </row>
    <row r="225" spans="1:20" x14ac:dyDescent="0.25">
      <c r="A225" t="str">
        <f t="shared" si="15"/>
        <v>August</v>
      </c>
      <c r="B225" s="5">
        <f t="shared" si="16"/>
        <v>41880</v>
      </c>
      <c r="C225">
        <v>2014</v>
      </c>
      <c r="D225">
        <v>8</v>
      </c>
      <c r="E225">
        <v>29</v>
      </c>
      <c r="F225" s="2">
        <v>142578000</v>
      </c>
      <c r="G225" s="2">
        <v>142360000</v>
      </c>
      <c r="H225" s="2">
        <v>121192000</v>
      </c>
      <c r="I225" s="2">
        <v>73878000</v>
      </c>
      <c r="J225" s="2">
        <v>47314000</v>
      </c>
      <c r="K225" s="2">
        <v>365416355</v>
      </c>
      <c r="L225" s="2">
        <v>106563000</v>
      </c>
      <c r="M225" s="3">
        <v>287.63</v>
      </c>
      <c r="N225" s="4">
        <v>2699</v>
      </c>
      <c r="O225" s="2">
        <v>82624000</v>
      </c>
      <c r="P225" s="3">
        <v>236.96</v>
      </c>
      <c r="Q225" s="4">
        <v>2868</v>
      </c>
      <c r="R225" s="2">
        <f t="shared" si="17"/>
        <v>21386000</v>
      </c>
      <c r="S225">
        <f t="shared" si="18"/>
        <v>0.8500049095933454</v>
      </c>
      <c r="T225">
        <f t="shared" si="19"/>
        <v>0.1499950904066546</v>
      </c>
    </row>
    <row r="226" spans="1:20" x14ac:dyDescent="0.25">
      <c r="A226" t="str">
        <f t="shared" si="15"/>
        <v>August</v>
      </c>
      <c r="B226" s="5">
        <f t="shared" si="16"/>
        <v>41852</v>
      </c>
      <c r="C226">
        <v>2014</v>
      </c>
      <c r="D226">
        <v>8</v>
      </c>
      <c r="E226">
        <v>1</v>
      </c>
      <c r="F226" s="2">
        <v>141336000</v>
      </c>
      <c r="G226" s="2">
        <v>141051000</v>
      </c>
      <c r="H226" s="2">
        <v>120429000</v>
      </c>
      <c r="I226" s="2">
        <v>73287000</v>
      </c>
      <c r="J226" s="2">
        <v>47142000</v>
      </c>
      <c r="K226" s="2">
        <v>348210731</v>
      </c>
      <c r="L226" s="2">
        <v>105888000</v>
      </c>
      <c r="M226" s="3">
        <v>285.31</v>
      </c>
      <c r="N226" s="4">
        <v>2694</v>
      </c>
      <c r="O226" s="2">
        <v>82306000</v>
      </c>
      <c r="P226" s="3">
        <v>235.69</v>
      </c>
      <c r="Q226" s="4">
        <v>2864</v>
      </c>
      <c r="R226" s="2">
        <f t="shared" si="17"/>
        <v>20907000</v>
      </c>
      <c r="S226">
        <f t="shared" si="18"/>
        <v>0.8520759042282221</v>
      </c>
      <c r="T226">
        <f t="shared" si="19"/>
        <v>0.1479240957717779</v>
      </c>
    </row>
    <row r="227" spans="1:20" x14ac:dyDescent="0.25">
      <c r="A227" t="str">
        <f t="shared" si="15"/>
        <v>May</v>
      </c>
      <c r="B227" s="5">
        <f t="shared" si="16"/>
        <v>41775</v>
      </c>
      <c r="C227">
        <v>2014</v>
      </c>
      <c r="D227">
        <v>5</v>
      </c>
      <c r="E227">
        <v>16</v>
      </c>
      <c r="F227" s="2">
        <v>136887000</v>
      </c>
      <c r="G227" s="2">
        <v>132571000</v>
      </c>
      <c r="H227" s="2">
        <v>117763000</v>
      </c>
      <c r="I227" s="2">
        <v>71263000</v>
      </c>
      <c r="J227" s="2">
        <v>46500000</v>
      </c>
      <c r="K227" s="2">
        <v>296244054</v>
      </c>
      <c r="L227" s="2">
        <v>102139000</v>
      </c>
      <c r="M227" s="3">
        <v>274.7</v>
      </c>
      <c r="N227" s="4">
        <v>2689</v>
      </c>
      <c r="O227" s="2">
        <v>80583000</v>
      </c>
      <c r="P227" s="3">
        <v>229.72</v>
      </c>
      <c r="Q227" s="4">
        <v>2851</v>
      </c>
      <c r="R227" s="2">
        <f t="shared" si="17"/>
        <v>19124000</v>
      </c>
      <c r="S227">
        <f t="shared" si="18"/>
        <v>0.8602935267775611</v>
      </c>
      <c r="T227">
        <f t="shared" si="19"/>
        <v>0.13970647322243895</v>
      </c>
    </row>
    <row r="228" spans="1:20" x14ac:dyDescent="0.25">
      <c r="A228" t="str">
        <f t="shared" si="15"/>
        <v>May</v>
      </c>
      <c r="B228" s="5">
        <f t="shared" si="16"/>
        <v>41768</v>
      </c>
      <c r="C228">
        <v>2014</v>
      </c>
      <c r="D228">
        <v>5</v>
      </c>
      <c r="E228">
        <v>9</v>
      </c>
      <c r="F228" s="2">
        <v>136244000</v>
      </c>
      <c r="G228" s="2">
        <v>131069000</v>
      </c>
      <c r="H228" s="2">
        <v>117403000</v>
      </c>
      <c r="I228" s="2">
        <v>70994000</v>
      </c>
      <c r="J228" s="2">
        <v>46409000</v>
      </c>
      <c r="K228" s="2">
        <v>290429932</v>
      </c>
      <c r="L228" s="2">
        <v>101176000</v>
      </c>
      <c r="M228" s="3">
        <v>272.47000000000003</v>
      </c>
      <c r="N228" s="4">
        <v>2693</v>
      </c>
      <c r="O228" s="2">
        <v>80164000</v>
      </c>
      <c r="P228" s="3">
        <v>228.54</v>
      </c>
      <c r="Q228" s="4">
        <v>2851</v>
      </c>
      <c r="R228" s="2">
        <f t="shared" si="17"/>
        <v>18841000</v>
      </c>
      <c r="S228">
        <f t="shared" si="18"/>
        <v>0.86171134141686978</v>
      </c>
      <c r="T228">
        <f t="shared" si="19"/>
        <v>0.13828865858313028</v>
      </c>
    </row>
    <row r="229" spans="1:20" x14ac:dyDescent="0.25">
      <c r="A229" t="str">
        <f t="shared" si="15"/>
        <v>May</v>
      </c>
      <c r="B229" s="5">
        <f t="shared" si="16"/>
        <v>41761</v>
      </c>
      <c r="C229">
        <v>2014</v>
      </c>
      <c r="D229">
        <v>5</v>
      </c>
      <c r="E229">
        <v>2</v>
      </c>
      <c r="F229" s="2">
        <v>135504000</v>
      </c>
      <c r="G229" s="2">
        <v>129479000</v>
      </c>
      <c r="H229" s="2">
        <v>117016000</v>
      </c>
      <c r="I229" s="2">
        <v>70707000</v>
      </c>
      <c r="J229" s="2">
        <v>46309000</v>
      </c>
      <c r="K229" s="2">
        <v>284365227</v>
      </c>
      <c r="L229" s="2">
        <v>99948000</v>
      </c>
      <c r="M229" s="3">
        <v>269.48</v>
      </c>
      <c r="N229" s="4">
        <v>2696</v>
      </c>
      <c r="O229" s="2">
        <v>79622000</v>
      </c>
      <c r="P229" s="3">
        <v>226.99</v>
      </c>
      <c r="Q229" s="4">
        <v>2851</v>
      </c>
      <c r="R229" s="2">
        <f t="shared" si="17"/>
        <v>18488000</v>
      </c>
      <c r="S229">
        <f t="shared" si="18"/>
        <v>0.86356122328492146</v>
      </c>
      <c r="T229">
        <f t="shared" si="19"/>
        <v>0.13643877671507851</v>
      </c>
    </row>
    <row r="230" spans="1:20" x14ac:dyDescent="0.25">
      <c r="A230" t="str">
        <f t="shared" si="15"/>
        <v>April</v>
      </c>
      <c r="B230" s="5">
        <f t="shared" si="16"/>
        <v>41754</v>
      </c>
      <c r="C230">
        <v>2014</v>
      </c>
      <c r="D230">
        <v>4</v>
      </c>
      <c r="E230">
        <v>25</v>
      </c>
      <c r="F230" s="2">
        <v>134334000</v>
      </c>
      <c r="G230" s="2">
        <v>127710000</v>
      </c>
      <c r="H230" s="2">
        <v>116556000</v>
      </c>
      <c r="I230" s="2">
        <v>70379000</v>
      </c>
      <c r="J230" s="2">
        <v>46177000</v>
      </c>
      <c r="K230" s="2">
        <v>277260138</v>
      </c>
      <c r="L230" s="2">
        <v>98379000</v>
      </c>
      <c r="M230" s="3">
        <v>265.05</v>
      </c>
      <c r="N230" s="4">
        <v>2694</v>
      </c>
      <c r="O230" s="2">
        <v>78887000</v>
      </c>
      <c r="P230" s="3">
        <v>224.59</v>
      </c>
      <c r="Q230" s="4">
        <v>2847</v>
      </c>
      <c r="R230" s="2">
        <f t="shared" si="17"/>
        <v>17778000</v>
      </c>
      <c r="S230">
        <f t="shared" si="18"/>
        <v>0.86765822502121581</v>
      </c>
      <c r="T230">
        <f t="shared" si="19"/>
        <v>0.13234177497878422</v>
      </c>
    </row>
    <row r="231" spans="1:20" x14ac:dyDescent="0.25">
      <c r="A231" t="str">
        <f t="shared" si="15"/>
        <v>April</v>
      </c>
      <c r="B231" s="5">
        <f t="shared" si="16"/>
        <v>41747</v>
      </c>
      <c r="C231">
        <v>2014</v>
      </c>
      <c r="D231">
        <v>4</v>
      </c>
      <c r="E231">
        <v>18</v>
      </c>
      <c r="F231" s="2">
        <v>131170000</v>
      </c>
      <c r="G231" s="2">
        <v>125604000</v>
      </c>
      <c r="H231" s="2">
        <v>115969000</v>
      </c>
      <c r="I231" s="2">
        <v>69992000</v>
      </c>
      <c r="J231" s="2">
        <v>45977000</v>
      </c>
      <c r="K231" s="2">
        <v>269138999</v>
      </c>
      <c r="L231" s="2">
        <v>94809000</v>
      </c>
      <c r="M231" s="3">
        <v>254.7</v>
      </c>
      <c r="N231" s="4">
        <v>2686</v>
      </c>
      <c r="O231" s="2">
        <v>76714000</v>
      </c>
      <c r="P231" s="3">
        <v>217.66</v>
      </c>
      <c r="Q231" s="4">
        <v>2837</v>
      </c>
      <c r="R231" s="2">
        <f t="shared" si="17"/>
        <v>15201000</v>
      </c>
      <c r="S231">
        <f t="shared" si="18"/>
        <v>0.88411222078219109</v>
      </c>
      <c r="T231">
        <f t="shared" si="19"/>
        <v>0.11588777921780895</v>
      </c>
    </row>
    <row r="232" spans="1:20" x14ac:dyDescent="0.25">
      <c r="A232" t="str">
        <f t="shared" si="15"/>
        <v>April</v>
      </c>
      <c r="B232" s="5">
        <f t="shared" si="16"/>
        <v>41740</v>
      </c>
      <c r="C232">
        <v>2014</v>
      </c>
      <c r="D232">
        <v>4</v>
      </c>
      <c r="E232">
        <v>11</v>
      </c>
      <c r="F232" s="2">
        <v>112741000</v>
      </c>
      <c r="G232" s="2">
        <v>110266000</v>
      </c>
      <c r="H232" s="2">
        <v>101288000</v>
      </c>
      <c r="I232" s="2">
        <v>61956000</v>
      </c>
      <c r="J232" s="2">
        <v>39332000</v>
      </c>
      <c r="K232" s="2">
        <v>249699045</v>
      </c>
      <c r="L232" s="2">
        <v>85262000</v>
      </c>
      <c r="M232" s="3">
        <v>234.55</v>
      </c>
      <c r="N232" s="4">
        <v>2751</v>
      </c>
      <c r="O232" s="2">
        <v>69924000</v>
      </c>
      <c r="P232" s="3">
        <v>202.17</v>
      </c>
      <c r="Q232" s="4">
        <v>2891</v>
      </c>
      <c r="R232" s="2">
        <f t="shared" si="17"/>
        <v>11453000</v>
      </c>
      <c r="S232">
        <f t="shared" si="18"/>
        <v>0.89841317710504609</v>
      </c>
      <c r="T232">
        <f t="shared" si="19"/>
        <v>0.10158682289495392</v>
      </c>
    </row>
    <row r="233" spans="1:20" x14ac:dyDescent="0.25">
      <c r="A233" t="str">
        <f t="shared" si="15"/>
        <v>April</v>
      </c>
      <c r="B233" s="5">
        <f t="shared" si="16"/>
        <v>41733</v>
      </c>
      <c r="C233">
        <v>2014</v>
      </c>
      <c r="D233">
        <v>4</v>
      </c>
      <c r="E233">
        <v>4</v>
      </c>
      <c r="F233" s="2">
        <v>99848000</v>
      </c>
      <c r="G233" s="2">
        <v>98170000</v>
      </c>
      <c r="H233" s="2">
        <v>90306000</v>
      </c>
      <c r="I233" s="2">
        <v>54295000</v>
      </c>
      <c r="J233" s="2">
        <v>36011000</v>
      </c>
      <c r="K233" s="2">
        <v>234510211</v>
      </c>
      <c r="L233" s="2">
        <v>78769000</v>
      </c>
      <c r="M233" s="3">
        <v>219.94</v>
      </c>
      <c r="N233" s="4">
        <v>2792</v>
      </c>
      <c r="O233" s="2">
        <v>65326000</v>
      </c>
      <c r="P233" s="3">
        <v>190.93</v>
      </c>
      <c r="Q233" s="4">
        <v>2923</v>
      </c>
      <c r="R233" s="2">
        <f t="shared" si="17"/>
        <v>9542000</v>
      </c>
      <c r="S233">
        <f t="shared" si="18"/>
        <v>0.90443474080602515</v>
      </c>
      <c r="T233">
        <f t="shared" si="19"/>
        <v>9.5565259193974836E-2</v>
      </c>
    </row>
    <row r="234" spans="1:20" x14ac:dyDescent="0.25">
      <c r="A234" t="str">
        <f t="shared" si="15"/>
        <v>March</v>
      </c>
      <c r="B234" s="5">
        <f t="shared" si="16"/>
        <v>41726</v>
      </c>
      <c r="C234">
        <v>2014</v>
      </c>
      <c r="D234">
        <v>3</v>
      </c>
      <c r="E234">
        <v>28</v>
      </c>
      <c r="F234" s="2">
        <v>90762000</v>
      </c>
      <c r="G234" s="2">
        <v>89127000</v>
      </c>
      <c r="H234" s="2">
        <v>82441000</v>
      </c>
      <c r="I234" s="2">
        <v>48787000</v>
      </c>
      <c r="J234" s="2">
        <v>33654000</v>
      </c>
      <c r="K234" s="2">
        <v>220978418</v>
      </c>
      <c r="L234" s="2">
        <v>73035000</v>
      </c>
      <c r="M234" s="3">
        <v>206.79</v>
      </c>
      <c r="N234" s="4">
        <v>2831</v>
      </c>
      <c r="O234" s="2">
        <v>61223000</v>
      </c>
      <c r="P234" s="3">
        <v>180.69</v>
      </c>
      <c r="Q234" s="4">
        <v>2951</v>
      </c>
      <c r="R234" s="2">
        <f t="shared" si="17"/>
        <v>8321000</v>
      </c>
      <c r="S234">
        <f t="shared" si="18"/>
        <v>0.90832066283246293</v>
      </c>
      <c r="T234">
        <f t="shared" si="19"/>
        <v>9.1679337167537081E-2</v>
      </c>
    </row>
    <row r="235" spans="1:20" x14ac:dyDescent="0.25">
      <c r="A235" t="str">
        <f t="shared" si="15"/>
        <v>March</v>
      </c>
      <c r="B235" s="5">
        <f t="shared" si="16"/>
        <v>41719</v>
      </c>
      <c r="C235">
        <v>2014</v>
      </c>
      <c r="D235">
        <v>3</v>
      </c>
      <c r="E235">
        <v>21</v>
      </c>
      <c r="F235" s="2">
        <v>82823000</v>
      </c>
      <c r="G235" s="2">
        <v>81149000</v>
      </c>
      <c r="H235" s="2">
        <v>75610000</v>
      </c>
      <c r="I235" s="2">
        <v>43953000</v>
      </c>
      <c r="J235" s="2">
        <v>31657000</v>
      </c>
      <c r="K235" s="2">
        <v>207734597</v>
      </c>
      <c r="L235" s="2">
        <v>67383000</v>
      </c>
      <c r="M235" s="3">
        <v>193.54</v>
      </c>
      <c r="N235" s="4">
        <v>2872</v>
      </c>
      <c r="O235" s="2">
        <v>57101000</v>
      </c>
      <c r="P235" s="3">
        <v>170.19</v>
      </c>
      <c r="Q235" s="4">
        <v>2980</v>
      </c>
      <c r="R235" s="2">
        <f t="shared" si="17"/>
        <v>7213000</v>
      </c>
      <c r="S235">
        <f t="shared" si="18"/>
        <v>0.91291066491192063</v>
      </c>
      <c r="T235">
        <f t="shared" si="19"/>
        <v>8.7089335088079395E-2</v>
      </c>
    </row>
    <row r="236" spans="1:20" x14ac:dyDescent="0.25">
      <c r="A236" t="str">
        <f t="shared" si="15"/>
        <v>March</v>
      </c>
      <c r="B236" s="5">
        <f t="shared" si="16"/>
        <v>41712</v>
      </c>
      <c r="C236">
        <v>2014</v>
      </c>
      <c r="D236">
        <v>3</v>
      </c>
      <c r="E236">
        <v>14</v>
      </c>
      <c r="F236" s="2">
        <v>75101000</v>
      </c>
      <c r="G236" s="2">
        <v>73157000</v>
      </c>
      <c r="H236" s="2">
        <v>68966000</v>
      </c>
      <c r="I236" s="2">
        <v>39413000</v>
      </c>
      <c r="J236" s="2">
        <v>29553000</v>
      </c>
      <c r="K236" s="2">
        <v>194206816</v>
      </c>
      <c r="L236" s="2">
        <v>61645000</v>
      </c>
      <c r="M236" s="3">
        <v>179.79</v>
      </c>
      <c r="N236" s="4">
        <v>2917</v>
      </c>
      <c r="O236" s="2">
        <v>52770000</v>
      </c>
      <c r="P236" s="3">
        <v>158.97999999999999</v>
      </c>
      <c r="Q236" s="4">
        <v>3013</v>
      </c>
      <c r="R236" s="2">
        <f t="shared" si="17"/>
        <v>6135000</v>
      </c>
      <c r="S236">
        <f t="shared" si="18"/>
        <v>0.91831000918762729</v>
      </c>
      <c r="T236">
        <f t="shared" si="19"/>
        <v>8.1689990812372673E-2</v>
      </c>
    </row>
    <row r="237" spans="1:20" x14ac:dyDescent="0.25">
      <c r="A237" t="str">
        <f t="shared" si="15"/>
        <v>March</v>
      </c>
      <c r="B237" s="5">
        <f t="shared" si="16"/>
        <v>41705</v>
      </c>
      <c r="C237">
        <v>2014</v>
      </c>
      <c r="D237">
        <v>3</v>
      </c>
      <c r="E237">
        <v>7</v>
      </c>
      <c r="F237" s="2">
        <v>67183000</v>
      </c>
      <c r="G237" s="2">
        <v>65662000</v>
      </c>
      <c r="H237" s="2">
        <v>62213000</v>
      </c>
      <c r="I237" s="2">
        <v>34816000</v>
      </c>
      <c r="J237" s="2">
        <v>27397000</v>
      </c>
      <c r="K237" s="2">
        <v>179637790</v>
      </c>
      <c r="L237" s="2">
        <v>55434000</v>
      </c>
      <c r="M237" s="3">
        <v>164.59</v>
      </c>
      <c r="N237" s="4">
        <v>2969</v>
      </c>
      <c r="O237" s="2">
        <v>47976000</v>
      </c>
      <c r="P237" s="3">
        <v>146.31</v>
      </c>
      <c r="Q237" s="4">
        <v>3050</v>
      </c>
      <c r="R237" s="2">
        <f t="shared" si="17"/>
        <v>4970000</v>
      </c>
      <c r="S237">
        <f t="shared" si="18"/>
        <v>0.92602295223494036</v>
      </c>
      <c r="T237">
        <f t="shared" si="19"/>
        <v>7.3977047765059617E-2</v>
      </c>
    </row>
    <row r="238" spans="1:20" x14ac:dyDescent="0.25">
      <c r="A238" t="str">
        <f t="shared" si="15"/>
        <v>February</v>
      </c>
      <c r="B238" s="5">
        <f t="shared" si="16"/>
        <v>41698</v>
      </c>
      <c r="C238">
        <v>2014</v>
      </c>
      <c r="D238">
        <v>2</v>
      </c>
      <c r="E238">
        <v>28</v>
      </c>
      <c r="F238" s="2">
        <v>58883000</v>
      </c>
      <c r="G238" s="2">
        <v>57410000</v>
      </c>
      <c r="H238" s="2">
        <v>54942000</v>
      </c>
      <c r="I238" s="2">
        <v>30053000</v>
      </c>
      <c r="J238" s="2">
        <v>24889000</v>
      </c>
      <c r="K238" s="2">
        <v>163397540</v>
      </c>
      <c r="L238" s="2">
        <v>48429000</v>
      </c>
      <c r="M238" s="3">
        <v>146.91999999999999</v>
      </c>
      <c r="N238" s="4">
        <v>3034</v>
      </c>
      <c r="O238" s="2">
        <v>42380000</v>
      </c>
      <c r="P238" s="3">
        <v>131.19999999999999</v>
      </c>
      <c r="Q238" s="4">
        <v>3096</v>
      </c>
      <c r="R238" s="2">
        <f t="shared" si="17"/>
        <v>3941000</v>
      </c>
      <c r="S238">
        <f t="shared" si="18"/>
        <v>0.9330706655571217</v>
      </c>
      <c r="T238">
        <f t="shared" si="19"/>
        <v>6.6929334442878255E-2</v>
      </c>
    </row>
    <row r="239" spans="1:20" x14ac:dyDescent="0.25">
      <c r="A239" t="str">
        <f t="shared" si="15"/>
        <v>February</v>
      </c>
      <c r="B239" s="5">
        <f t="shared" si="16"/>
        <v>41691</v>
      </c>
      <c r="C239">
        <v>2014</v>
      </c>
      <c r="D239">
        <v>2</v>
      </c>
      <c r="E239">
        <v>21</v>
      </c>
      <c r="F239" s="2">
        <v>49558000</v>
      </c>
      <c r="G239" s="2">
        <v>48335000</v>
      </c>
      <c r="H239" s="2">
        <v>46641000</v>
      </c>
      <c r="I239" s="2">
        <v>24687000</v>
      </c>
      <c r="J239" s="2">
        <v>21954000</v>
      </c>
      <c r="K239" s="2">
        <v>143672874</v>
      </c>
      <c r="L239" s="2">
        <v>40389000</v>
      </c>
      <c r="M239" s="3">
        <v>125.83</v>
      </c>
      <c r="N239" s="4">
        <v>3116</v>
      </c>
      <c r="O239" s="2">
        <v>35694000</v>
      </c>
      <c r="P239" s="3">
        <v>112.63</v>
      </c>
      <c r="Q239" s="4">
        <v>3155</v>
      </c>
      <c r="R239" s="2">
        <f t="shared" si="17"/>
        <v>2917000</v>
      </c>
      <c r="S239">
        <f t="shared" si="18"/>
        <v>0.94113967472456517</v>
      </c>
      <c r="T239">
        <f t="shared" si="19"/>
        <v>5.8860325275434847E-2</v>
      </c>
    </row>
    <row r="240" spans="1:20" x14ac:dyDescent="0.25">
      <c r="A240" t="str">
        <f t="shared" si="15"/>
        <v>February</v>
      </c>
      <c r="B240" s="5">
        <f t="shared" si="16"/>
        <v>41684</v>
      </c>
      <c r="C240">
        <v>2014</v>
      </c>
      <c r="D240">
        <v>2</v>
      </c>
      <c r="E240">
        <v>14</v>
      </c>
      <c r="F240" s="2">
        <v>39224000</v>
      </c>
      <c r="G240" s="2">
        <v>38385000</v>
      </c>
      <c r="H240" s="2">
        <v>37165000</v>
      </c>
      <c r="I240" s="2">
        <v>18953000</v>
      </c>
      <c r="J240" s="2">
        <v>18212000</v>
      </c>
      <c r="K240" s="2">
        <v>119297626</v>
      </c>
      <c r="L240" s="2">
        <v>31307000</v>
      </c>
      <c r="M240" s="3">
        <v>100.54</v>
      </c>
      <c r="N240" s="4">
        <v>3211</v>
      </c>
      <c r="O240" s="2">
        <v>27747000</v>
      </c>
      <c r="P240" s="3">
        <v>89.59</v>
      </c>
      <c r="Q240" s="4">
        <v>3229</v>
      </c>
      <c r="R240" s="2">
        <f t="shared" si="17"/>
        <v>2059000</v>
      </c>
      <c r="S240">
        <f t="shared" si="18"/>
        <v>0.94750662859473789</v>
      </c>
      <c r="T240">
        <f t="shared" si="19"/>
        <v>5.2493371405262085E-2</v>
      </c>
    </row>
    <row r="241" spans="1:20" x14ac:dyDescent="0.25">
      <c r="A241" t="str">
        <f t="shared" si="15"/>
        <v>February</v>
      </c>
      <c r="B241" s="5">
        <f t="shared" si="16"/>
        <v>41677</v>
      </c>
      <c r="C241">
        <v>2014</v>
      </c>
      <c r="D241">
        <v>2</v>
      </c>
      <c r="E241">
        <v>7</v>
      </c>
      <c r="F241" s="2">
        <v>27249000</v>
      </c>
      <c r="G241" s="2">
        <v>26945000</v>
      </c>
      <c r="H241" s="2">
        <v>26081000</v>
      </c>
      <c r="I241" s="2">
        <v>12699000</v>
      </c>
      <c r="J241" s="2">
        <v>13382000</v>
      </c>
      <c r="K241" s="2">
        <v>85095129</v>
      </c>
      <c r="L241" s="2">
        <v>19459000</v>
      </c>
      <c r="M241" s="3">
        <v>64.55</v>
      </c>
      <c r="N241" s="4">
        <v>3317</v>
      </c>
      <c r="O241" s="2">
        <v>16976000</v>
      </c>
      <c r="P241" s="3">
        <v>55.82</v>
      </c>
      <c r="Q241" s="4">
        <v>3288</v>
      </c>
      <c r="R241" s="2">
        <f t="shared" si="17"/>
        <v>1168000</v>
      </c>
      <c r="S241">
        <f t="shared" si="18"/>
        <v>0.95713604168960331</v>
      </c>
      <c r="T241">
        <f t="shared" si="19"/>
        <v>4.2863958310396709E-2</v>
      </c>
    </row>
    <row r="242" spans="1:20" x14ac:dyDescent="0.25">
      <c r="A242" t="str">
        <f t="shared" si="15"/>
        <v>January</v>
      </c>
      <c r="B242" s="5">
        <f t="shared" si="16"/>
        <v>41670</v>
      </c>
      <c r="C242">
        <v>2014</v>
      </c>
      <c r="D242">
        <v>1</v>
      </c>
      <c r="E242">
        <v>31</v>
      </c>
      <c r="F242" s="2">
        <v>11169000</v>
      </c>
      <c r="G242" s="2">
        <v>11036000</v>
      </c>
      <c r="H242" s="2">
        <v>10418000</v>
      </c>
      <c r="I242" s="2">
        <v>4212000</v>
      </c>
      <c r="J242" s="2">
        <v>6206000</v>
      </c>
      <c r="K242" s="2">
        <v>43996932</v>
      </c>
      <c r="L242" s="2">
        <v>3838000</v>
      </c>
      <c r="M242" s="3">
        <v>12.35</v>
      </c>
      <c r="N242" s="4">
        <v>3218</v>
      </c>
      <c r="O242" s="2">
        <v>3715000</v>
      </c>
      <c r="P242" s="3">
        <v>12.05</v>
      </c>
      <c r="Q242" s="4">
        <v>3244</v>
      </c>
      <c r="R242" s="2">
        <f t="shared" si="17"/>
        <v>751000</v>
      </c>
      <c r="S242">
        <f t="shared" si="18"/>
        <v>0.93276031873936793</v>
      </c>
      <c r="T242">
        <f t="shared" si="19"/>
        <v>6.7239681260632109E-2</v>
      </c>
    </row>
    <row r="243" spans="1:20" x14ac:dyDescent="0.25">
      <c r="A243" t="str">
        <f t="shared" si="15"/>
        <v>December</v>
      </c>
      <c r="B243" s="5">
        <f t="shared" si="16"/>
        <v>41635</v>
      </c>
      <c r="C243">
        <v>2013</v>
      </c>
      <c r="D243">
        <v>12</v>
      </c>
      <c r="E243">
        <v>27</v>
      </c>
      <c r="F243" s="2">
        <v>148197000</v>
      </c>
      <c r="G243" s="2">
        <v>147910000</v>
      </c>
      <c r="H243" s="2">
        <v>122515000</v>
      </c>
      <c r="I243" s="2">
        <v>77268000</v>
      </c>
      <c r="J243" s="2">
        <v>45247000</v>
      </c>
      <c r="K243" s="2">
        <v>456704240</v>
      </c>
      <c r="L243" s="2">
        <v>109563000</v>
      </c>
      <c r="M243" s="3">
        <v>301.83999999999997</v>
      </c>
      <c r="N243" s="4">
        <v>2755</v>
      </c>
      <c r="O243" s="2">
        <v>83836000</v>
      </c>
      <c r="P243" s="3">
        <v>245.6</v>
      </c>
      <c r="Q243" s="4">
        <v>2929</v>
      </c>
      <c r="R243" s="2">
        <f t="shared" si="17"/>
        <v>25682000</v>
      </c>
      <c r="S243">
        <f t="shared" si="18"/>
        <v>0.82670364447323497</v>
      </c>
      <c r="T243">
        <f t="shared" si="19"/>
        <v>0.17329635552676506</v>
      </c>
    </row>
    <row r="244" spans="1:20" x14ac:dyDescent="0.25">
      <c r="A244" t="str">
        <f t="shared" si="15"/>
        <v>November</v>
      </c>
      <c r="B244" s="5">
        <f t="shared" si="16"/>
        <v>41600</v>
      </c>
      <c r="C244">
        <v>2013</v>
      </c>
      <c r="D244">
        <v>11</v>
      </c>
      <c r="E244">
        <v>22</v>
      </c>
      <c r="F244" s="2">
        <v>147744000</v>
      </c>
      <c r="G244" s="2">
        <v>147223000</v>
      </c>
      <c r="H244" s="2">
        <v>122515000</v>
      </c>
      <c r="I244" s="2">
        <v>77268000</v>
      </c>
      <c r="J244" s="2">
        <v>45247000</v>
      </c>
      <c r="K244" s="2">
        <v>437814185</v>
      </c>
      <c r="L244" s="2">
        <v>109261000</v>
      </c>
      <c r="M244" s="3">
        <v>299.86</v>
      </c>
      <c r="N244" s="4">
        <v>2744</v>
      </c>
      <c r="O244" s="2">
        <v>83728000</v>
      </c>
      <c r="P244" s="3">
        <v>244.93</v>
      </c>
      <c r="Q244" s="4">
        <v>2925</v>
      </c>
      <c r="R244" s="2">
        <f t="shared" si="17"/>
        <v>25229000</v>
      </c>
      <c r="S244">
        <f t="shared" si="18"/>
        <v>0.8292384123889972</v>
      </c>
      <c r="T244">
        <f t="shared" si="19"/>
        <v>0.17076158761100282</v>
      </c>
    </row>
    <row r="245" spans="1:20" x14ac:dyDescent="0.25">
      <c r="A245" t="str">
        <f t="shared" si="15"/>
        <v>May</v>
      </c>
      <c r="B245" s="5">
        <f t="shared" si="16"/>
        <v>41411</v>
      </c>
      <c r="C245">
        <v>2013</v>
      </c>
      <c r="D245">
        <v>5</v>
      </c>
      <c r="E245">
        <v>17</v>
      </c>
      <c r="F245" s="2">
        <v>135096000</v>
      </c>
      <c r="G245" s="2">
        <v>131100000</v>
      </c>
      <c r="H245" s="2">
        <v>114422000</v>
      </c>
      <c r="I245" s="2">
        <v>70739000</v>
      </c>
      <c r="J245" s="2">
        <v>43683000</v>
      </c>
      <c r="K245" s="2">
        <v>323793587</v>
      </c>
      <c r="L245" s="2">
        <v>101913000</v>
      </c>
      <c r="M245" s="3">
        <v>270.32</v>
      </c>
      <c r="N245" s="4">
        <v>2652</v>
      </c>
      <c r="O245" s="2">
        <v>80267000</v>
      </c>
      <c r="P245" s="3">
        <v>229.8</v>
      </c>
      <c r="Q245" s="4">
        <v>2863</v>
      </c>
      <c r="R245" s="2">
        <f t="shared" si="17"/>
        <v>20674000</v>
      </c>
      <c r="S245">
        <f t="shared" si="18"/>
        <v>0.84696808195653461</v>
      </c>
      <c r="T245">
        <f t="shared" si="19"/>
        <v>0.15303191804346539</v>
      </c>
    </row>
    <row r="246" spans="1:20" x14ac:dyDescent="0.25">
      <c r="A246" t="str">
        <f t="shared" si="15"/>
        <v>May</v>
      </c>
      <c r="B246" s="5">
        <f t="shared" si="16"/>
        <v>41404</v>
      </c>
      <c r="C246">
        <v>2013</v>
      </c>
      <c r="D246">
        <v>5</v>
      </c>
      <c r="E246">
        <v>10</v>
      </c>
      <c r="F246" s="2">
        <v>134465000</v>
      </c>
      <c r="G246" s="2">
        <v>129674000</v>
      </c>
      <c r="H246" s="2">
        <v>114070000</v>
      </c>
      <c r="I246" s="2">
        <v>70474000</v>
      </c>
      <c r="J246" s="2">
        <v>43596000</v>
      </c>
      <c r="K246" s="2">
        <v>317992771</v>
      </c>
      <c r="L246" s="2">
        <v>101082000</v>
      </c>
      <c r="M246" s="3">
        <v>267.95</v>
      </c>
      <c r="N246" s="4">
        <v>2651</v>
      </c>
      <c r="O246" s="2">
        <v>79880000</v>
      </c>
      <c r="P246" s="3">
        <v>228.47</v>
      </c>
      <c r="Q246" s="4">
        <v>2860</v>
      </c>
      <c r="R246" s="2">
        <f t="shared" si="17"/>
        <v>20395000</v>
      </c>
      <c r="S246">
        <f t="shared" si="18"/>
        <v>0.84832484289592092</v>
      </c>
      <c r="T246">
        <f t="shared" si="19"/>
        <v>0.15167515710407914</v>
      </c>
    </row>
    <row r="247" spans="1:20" x14ac:dyDescent="0.25">
      <c r="A247" t="str">
        <f t="shared" si="15"/>
        <v>May</v>
      </c>
      <c r="B247" s="5">
        <f t="shared" si="16"/>
        <v>41397</v>
      </c>
      <c r="C247">
        <v>2013</v>
      </c>
      <c r="D247">
        <v>5</v>
      </c>
      <c r="E247">
        <v>3</v>
      </c>
      <c r="F247" s="2">
        <v>133803000</v>
      </c>
      <c r="G247" s="2">
        <v>127586000</v>
      </c>
      <c r="H247" s="2">
        <v>113679000</v>
      </c>
      <c r="I247" s="2">
        <v>70184000</v>
      </c>
      <c r="J247" s="2">
        <v>43496000</v>
      </c>
      <c r="K247" s="2">
        <v>312001989</v>
      </c>
      <c r="L247" s="2">
        <v>99551000</v>
      </c>
      <c r="M247" s="3">
        <v>264.42</v>
      </c>
      <c r="N247" s="4">
        <v>2656</v>
      </c>
      <c r="O247" s="2">
        <v>79226000</v>
      </c>
      <c r="P247" s="3">
        <v>226.57</v>
      </c>
      <c r="Q247" s="4">
        <v>2860</v>
      </c>
      <c r="R247" s="2">
        <f t="shared" si="17"/>
        <v>20124000</v>
      </c>
      <c r="S247">
        <f t="shared" si="18"/>
        <v>0.84959978475818931</v>
      </c>
      <c r="T247">
        <f t="shared" si="19"/>
        <v>0.15040021524181071</v>
      </c>
    </row>
    <row r="248" spans="1:20" x14ac:dyDescent="0.25">
      <c r="A248" t="str">
        <f t="shared" si="15"/>
        <v>April</v>
      </c>
      <c r="B248" s="5">
        <f t="shared" si="16"/>
        <v>41390</v>
      </c>
      <c r="C248">
        <v>2013</v>
      </c>
      <c r="D248">
        <v>4</v>
      </c>
      <c r="E248">
        <v>26</v>
      </c>
      <c r="F248" s="2">
        <v>132760000</v>
      </c>
      <c r="G248" s="2">
        <v>125392000</v>
      </c>
      <c r="H248" s="2">
        <v>113226000</v>
      </c>
      <c r="I248" s="2">
        <v>69855000</v>
      </c>
      <c r="J248" s="2">
        <v>43371000</v>
      </c>
      <c r="K248" s="2">
        <v>304957832</v>
      </c>
      <c r="L248" s="2">
        <v>97752000</v>
      </c>
      <c r="M248" s="3">
        <v>259.73</v>
      </c>
      <c r="N248" s="4">
        <v>2657</v>
      </c>
      <c r="O248" s="2">
        <v>78425000</v>
      </c>
      <c r="P248" s="3">
        <v>224.05</v>
      </c>
      <c r="Q248" s="4">
        <v>2857</v>
      </c>
      <c r="R248" s="2">
        <f t="shared" si="17"/>
        <v>19534000</v>
      </c>
      <c r="S248">
        <f t="shared" si="18"/>
        <v>0.85286230792407347</v>
      </c>
      <c r="T248">
        <f t="shared" si="19"/>
        <v>0.14713769207592647</v>
      </c>
    </row>
    <row r="249" spans="1:20" x14ac:dyDescent="0.25">
      <c r="A249" t="str">
        <f t="shared" si="15"/>
        <v>April</v>
      </c>
      <c r="B249" s="5">
        <f t="shared" si="16"/>
        <v>41383</v>
      </c>
      <c r="C249">
        <v>2013</v>
      </c>
      <c r="D249">
        <v>4</v>
      </c>
      <c r="E249">
        <v>19</v>
      </c>
      <c r="F249" s="2">
        <v>130203000</v>
      </c>
      <c r="G249" s="2">
        <v>120737000</v>
      </c>
      <c r="H249" s="2">
        <v>112665000</v>
      </c>
      <c r="I249" s="2">
        <v>69474000</v>
      </c>
      <c r="J249" s="2">
        <v>43191000</v>
      </c>
      <c r="K249" s="2">
        <v>296468446</v>
      </c>
      <c r="L249" s="2">
        <v>93839000</v>
      </c>
      <c r="M249" s="3">
        <v>249.49</v>
      </c>
      <c r="N249" s="4">
        <v>2659</v>
      </c>
      <c r="O249" s="2">
        <v>76135000</v>
      </c>
      <c r="P249" s="3">
        <v>217.19</v>
      </c>
      <c r="Q249" s="4">
        <v>2853</v>
      </c>
      <c r="R249" s="2">
        <f t="shared" si="17"/>
        <v>17538000</v>
      </c>
      <c r="S249">
        <f t="shared" si="18"/>
        <v>0.86530264279624891</v>
      </c>
      <c r="T249">
        <f t="shared" si="19"/>
        <v>0.13469735720375106</v>
      </c>
    </row>
    <row r="250" spans="1:20" x14ac:dyDescent="0.25">
      <c r="A250" t="str">
        <f t="shared" si="15"/>
        <v>April</v>
      </c>
      <c r="B250" s="5">
        <f t="shared" si="16"/>
        <v>41376</v>
      </c>
      <c r="C250">
        <v>2013</v>
      </c>
      <c r="D250">
        <v>4</v>
      </c>
      <c r="E250">
        <v>12</v>
      </c>
      <c r="F250" s="2">
        <v>112403000</v>
      </c>
      <c r="G250" s="2">
        <v>103880000</v>
      </c>
      <c r="H250" s="2">
        <v>99787000</v>
      </c>
      <c r="I250" s="2">
        <v>62163000</v>
      </c>
      <c r="J250" s="2">
        <v>37624000</v>
      </c>
      <c r="K250" s="2">
        <v>278307884</v>
      </c>
      <c r="L250" s="2">
        <v>84581000</v>
      </c>
      <c r="M250" s="3">
        <v>229.61</v>
      </c>
      <c r="N250" s="4">
        <v>2715</v>
      </c>
      <c r="O250" s="2">
        <v>69680000</v>
      </c>
      <c r="P250" s="3">
        <v>202.19</v>
      </c>
      <c r="Q250" s="4">
        <v>2902</v>
      </c>
      <c r="R250" s="2">
        <f t="shared" si="17"/>
        <v>12616000</v>
      </c>
      <c r="S250">
        <f t="shared" si="18"/>
        <v>0.88776100282020942</v>
      </c>
      <c r="T250">
        <f t="shared" si="19"/>
        <v>0.11223899717979058</v>
      </c>
    </row>
    <row r="251" spans="1:20" x14ac:dyDescent="0.25">
      <c r="A251" t="str">
        <f t="shared" si="15"/>
        <v>April</v>
      </c>
      <c r="B251" s="5">
        <f t="shared" si="16"/>
        <v>41369</v>
      </c>
      <c r="C251">
        <v>2013</v>
      </c>
      <c r="D251">
        <v>4</v>
      </c>
      <c r="E251">
        <v>5</v>
      </c>
      <c r="F251" s="2">
        <v>99131000</v>
      </c>
      <c r="G251" s="2">
        <v>93103000</v>
      </c>
      <c r="H251" s="2">
        <v>88638000</v>
      </c>
      <c r="I251" s="2">
        <v>54673000</v>
      </c>
      <c r="J251" s="2">
        <v>33964000</v>
      </c>
      <c r="K251" s="2">
        <v>261597162</v>
      </c>
      <c r="L251" s="2">
        <v>77849000</v>
      </c>
      <c r="M251" s="3">
        <v>214.49</v>
      </c>
      <c r="N251" s="4">
        <v>2755</v>
      </c>
      <c r="O251" s="2">
        <v>65020000</v>
      </c>
      <c r="P251" s="3">
        <v>190.75</v>
      </c>
      <c r="Q251" s="4">
        <v>2934</v>
      </c>
      <c r="R251" s="2">
        <f t="shared" si="17"/>
        <v>10493000</v>
      </c>
      <c r="S251">
        <f t="shared" si="18"/>
        <v>0.89415016493327015</v>
      </c>
      <c r="T251">
        <f t="shared" si="19"/>
        <v>0.10584983506672989</v>
      </c>
    </row>
    <row r="252" spans="1:20" x14ac:dyDescent="0.25">
      <c r="A252" t="str">
        <f t="shared" si="15"/>
        <v>March</v>
      </c>
      <c r="B252" s="5">
        <f t="shared" si="16"/>
        <v>41362</v>
      </c>
      <c r="C252">
        <v>2013</v>
      </c>
      <c r="D252">
        <v>3</v>
      </c>
      <c r="E252">
        <v>29</v>
      </c>
      <c r="F252" s="2">
        <v>90244000</v>
      </c>
      <c r="G252" s="2">
        <v>85039000</v>
      </c>
      <c r="H252" s="2">
        <v>80991000</v>
      </c>
      <c r="I252" s="2">
        <v>49214000</v>
      </c>
      <c r="J252" s="2">
        <v>31777000</v>
      </c>
      <c r="K252" s="2">
        <v>247990560</v>
      </c>
      <c r="L252" s="2">
        <v>72231000</v>
      </c>
      <c r="M252" s="3">
        <v>201.5</v>
      </c>
      <c r="N252" s="4">
        <v>2790</v>
      </c>
      <c r="O252" s="2">
        <v>61133000</v>
      </c>
      <c r="P252" s="3">
        <v>180.87</v>
      </c>
      <c r="Q252" s="4">
        <v>2959</v>
      </c>
      <c r="R252" s="2">
        <f t="shared" si="17"/>
        <v>9253000</v>
      </c>
      <c r="S252">
        <f t="shared" si="18"/>
        <v>0.89746686760338634</v>
      </c>
      <c r="T252">
        <f t="shared" si="19"/>
        <v>0.10253313239661363</v>
      </c>
    </row>
    <row r="253" spans="1:20" x14ac:dyDescent="0.25">
      <c r="A253" t="str">
        <f t="shared" si="15"/>
        <v>March</v>
      </c>
      <c r="B253" s="5">
        <f t="shared" si="16"/>
        <v>41355</v>
      </c>
      <c r="C253">
        <v>2013</v>
      </c>
      <c r="D253">
        <v>3</v>
      </c>
      <c r="E253">
        <v>22</v>
      </c>
      <c r="F253" s="2">
        <v>82413000</v>
      </c>
      <c r="G253" s="2">
        <v>77102000</v>
      </c>
      <c r="H253" s="2">
        <v>74420000</v>
      </c>
      <c r="I253" s="2">
        <v>44524000</v>
      </c>
      <c r="J253" s="2">
        <v>29896000</v>
      </c>
      <c r="K253" s="2">
        <v>234237695</v>
      </c>
      <c r="L253" s="2">
        <v>66429000</v>
      </c>
      <c r="M253" s="3">
        <v>187.79</v>
      </c>
      <c r="N253" s="4">
        <v>2827</v>
      </c>
      <c r="O253" s="2">
        <v>56985000</v>
      </c>
      <c r="P253" s="3">
        <v>170.13</v>
      </c>
      <c r="Q253" s="4">
        <v>2985</v>
      </c>
      <c r="R253" s="2">
        <f t="shared" si="17"/>
        <v>7993000</v>
      </c>
      <c r="S253">
        <f t="shared" si="18"/>
        <v>0.90301287418247123</v>
      </c>
      <c r="T253">
        <f t="shared" si="19"/>
        <v>9.6987125817528788E-2</v>
      </c>
    </row>
    <row r="254" spans="1:20" x14ac:dyDescent="0.25">
      <c r="A254" t="str">
        <f t="shared" si="15"/>
        <v>March</v>
      </c>
      <c r="B254" s="5">
        <f t="shared" si="16"/>
        <v>41348</v>
      </c>
      <c r="C254">
        <v>2013</v>
      </c>
      <c r="D254">
        <v>3</v>
      </c>
      <c r="E254">
        <v>15</v>
      </c>
      <c r="F254" s="2">
        <v>74882000</v>
      </c>
      <c r="G254" s="2">
        <v>69153000</v>
      </c>
      <c r="H254" s="2">
        <v>68029000</v>
      </c>
      <c r="I254" s="2">
        <v>40117000</v>
      </c>
      <c r="J254" s="2">
        <v>27912000</v>
      </c>
      <c r="K254" s="2">
        <v>218469657</v>
      </c>
      <c r="L254" s="2">
        <v>60243000</v>
      </c>
      <c r="M254" s="3">
        <v>172.49</v>
      </c>
      <c r="N254" s="4">
        <v>2863</v>
      </c>
      <c r="O254" s="2">
        <v>52414000</v>
      </c>
      <c r="P254" s="3">
        <v>157.79</v>
      </c>
      <c r="Q254" s="4">
        <v>3010</v>
      </c>
      <c r="R254" s="2">
        <f t="shared" si="17"/>
        <v>6853000</v>
      </c>
      <c r="S254">
        <f t="shared" si="18"/>
        <v>0.90848267941561389</v>
      </c>
      <c r="T254">
        <f t="shared" si="19"/>
        <v>9.1517320584386094E-2</v>
      </c>
    </row>
    <row r="255" spans="1:20" x14ac:dyDescent="0.25">
      <c r="A255" t="str">
        <f t="shared" si="15"/>
        <v>March</v>
      </c>
      <c r="B255" s="5">
        <f t="shared" si="16"/>
        <v>41341</v>
      </c>
      <c r="C255">
        <v>2013</v>
      </c>
      <c r="D255">
        <v>3</v>
      </c>
      <c r="E255">
        <v>8</v>
      </c>
      <c r="F255" s="2">
        <v>67143000</v>
      </c>
      <c r="G255" s="2">
        <v>60944000</v>
      </c>
      <c r="H255" s="2">
        <v>61488000</v>
      </c>
      <c r="I255" s="2">
        <v>35585000</v>
      </c>
      <c r="J255" s="2">
        <v>25903000</v>
      </c>
      <c r="K255" s="2">
        <v>197651780</v>
      </c>
      <c r="L255" s="2">
        <v>53447000</v>
      </c>
      <c r="M255" s="3">
        <v>154.69999999999999</v>
      </c>
      <c r="N255" s="4">
        <v>2894</v>
      </c>
      <c r="O255" s="2">
        <v>47177000</v>
      </c>
      <c r="P255" s="3">
        <v>142.86000000000001</v>
      </c>
      <c r="Q255" s="4">
        <v>3028</v>
      </c>
      <c r="R255" s="2">
        <f t="shared" si="17"/>
        <v>5655000</v>
      </c>
      <c r="S255">
        <f t="shared" si="18"/>
        <v>0.915776774943032</v>
      </c>
      <c r="T255">
        <f t="shared" si="19"/>
        <v>8.4223225056967971E-2</v>
      </c>
    </row>
    <row r="256" spans="1:20" x14ac:dyDescent="0.25">
      <c r="A256" t="str">
        <f t="shared" si="15"/>
        <v>March</v>
      </c>
      <c r="B256" s="5">
        <f t="shared" si="16"/>
        <v>41334</v>
      </c>
      <c r="C256">
        <v>2013</v>
      </c>
      <c r="D256">
        <v>3</v>
      </c>
      <c r="E256">
        <v>1</v>
      </c>
      <c r="F256" s="2">
        <v>58044000</v>
      </c>
      <c r="G256" s="2">
        <v>51778000</v>
      </c>
      <c r="H256" s="2">
        <v>53612000</v>
      </c>
      <c r="I256" s="2">
        <v>30466000</v>
      </c>
      <c r="J256" s="2">
        <v>23146000</v>
      </c>
      <c r="K256" s="2">
        <v>180140998</v>
      </c>
      <c r="L256" s="2">
        <v>45862000</v>
      </c>
      <c r="M256" s="3">
        <v>135.03</v>
      </c>
      <c r="N256" s="4">
        <v>2944</v>
      </c>
      <c r="O256" s="2">
        <v>41137000</v>
      </c>
      <c r="P256" s="3">
        <v>126.03</v>
      </c>
      <c r="Q256" s="4">
        <v>3054</v>
      </c>
      <c r="R256" s="2">
        <f t="shared" si="17"/>
        <v>4432000</v>
      </c>
      <c r="S256">
        <f t="shared" si="18"/>
        <v>0.92364413203776441</v>
      </c>
      <c r="T256">
        <f t="shared" si="19"/>
        <v>7.6355867962235549E-2</v>
      </c>
    </row>
    <row r="257" spans="1:20" x14ac:dyDescent="0.25">
      <c r="A257" t="str">
        <f t="shared" si="15"/>
        <v>February</v>
      </c>
      <c r="B257" s="5">
        <f t="shared" si="16"/>
        <v>41327</v>
      </c>
      <c r="C257">
        <v>2013</v>
      </c>
      <c r="D257">
        <v>2</v>
      </c>
      <c r="E257">
        <v>22</v>
      </c>
      <c r="F257" s="2">
        <v>49448000</v>
      </c>
      <c r="G257" s="2">
        <v>42837000</v>
      </c>
      <c r="H257" s="2">
        <v>46149000</v>
      </c>
      <c r="I257" s="2">
        <v>25618000</v>
      </c>
      <c r="J257" s="2">
        <v>20531000</v>
      </c>
      <c r="K257" s="2">
        <v>155167572</v>
      </c>
      <c r="L257" s="2">
        <v>38042000</v>
      </c>
      <c r="M257" s="3">
        <v>113.74</v>
      </c>
      <c r="N257" s="4">
        <v>2990</v>
      </c>
      <c r="O257" s="2">
        <v>34618000</v>
      </c>
      <c r="P257" s="3">
        <v>107.23</v>
      </c>
      <c r="Q257" s="4">
        <v>3097</v>
      </c>
      <c r="R257" s="2">
        <f t="shared" si="17"/>
        <v>3299000</v>
      </c>
      <c r="S257">
        <f t="shared" si="18"/>
        <v>0.9332834492800518</v>
      </c>
      <c r="T257">
        <f t="shared" si="19"/>
        <v>6.6716550719948226E-2</v>
      </c>
    </row>
    <row r="258" spans="1:20" x14ac:dyDescent="0.25">
      <c r="A258" t="str">
        <f t="shared" si="15"/>
        <v>February</v>
      </c>
      <c r="B258" s="5">
        <f t="shared" si="16"/>
        <v>41320</v>
      </c>
      <c r="C258">
        <v>2013</v>
      </c>
      <c r="D258">
        <v>2</v>
      </c>
      <c r="E258">
        <v>15</v>
      </c>
      <c r="F258" s="2">
        <v>39531000</v>
      </c>
      <c r="G258" s="2">
        <v>30762000</v>
      </c>
      <c r="H258" s="2">
        <v>37112000</v>
      </c>
      <c r="I258" s="2">
        <v>20028000</v>
      </c>
      <c r="J258" s="2">
        <v>17084000</v>
      </c>
      <c r="K258" s="2">
        <v>123945553</v>
      </c>
      <c r="L258" s="2">
        <v>27100000</v>
      </c>
      <c r="M258" s="3">
        <v>81.86</v>
      </c>
      <c r="N258" s="4">
        <v>3021</v>
      </c>
      <c r="O258" s="2">
        <v>24957000</v>
      </c>
      <c r="P258" s="3">
        <v>77.89</v>
      </c>
      <c r="Q258" s="4">
        <v>3121</v>
      </c>
      <c r="R258" s="2">
        <f t="shared" si="17"/>
        <v>2419000</v>
      </c>
      <c r="S258">
        <f t="shared" si="18"/>
        <v>0.93880751815031238</v>
      </c>
      <c r="T258">
        <f t="shared" si="19"/>
        <v>6.1192481849687584E-2</v>
      </c>
    </row>
    <row r="259" spans="1:20" x14ac:dyDescent="0.25">
      <c r="A259" t="str">
        <f t="shared" si="15"/>
        <v>February</v>
      </c>
      <c r="B259" s="5">
        <f t="shared" si="16"/>
        <v>41313</v>
      </c>
      <c r="C259">
        <v>2013</v>
      </c>
      <c r="D259">
        <v>2</v>
      </c>
      <c r="E259">
        <v>8</v>
      </c>
      <c r="F259" s="2">
        <v>26589000</v>
      </c>
      <c r="G259" s="2">
        <v>18811000</v>
      </c>
      <c r="H259" s="2">
        <v>25121000</v>
      </c>
      <c r="I259" s="2">
        <v>13456000</v>
      </c>
      <c r="J259" s="2">
        <v>11665000</v>
      </c>
      <c r="K259" s="2">
        <v>90706865</v>
      </c>
      <c r="L259" s="2">
        <v>16424000</v>
      </c>
      <c r="M259" s="3">
        <v>52.06</v>
      </c>
      <c r="N259" s="4">
        <v>3170</v>
      </c>
      <c r="O259" s="2">
        <v>15457000</v>
      </c>
      <c r="P259" s="3">
        <v>50.21</v>
      </c>
      <c r="Q259" s="4">
        <v>3249</v>
      </c>
      <c r="R259" s="2">
        <f t="shared" si="17"/>
        <v>1468000</v>
      </c>
      <c r="S259">
        <f t="shared" si="18"/>
        <v>0.94478919854074994</v>
      </c>
      <c r="T259">
        <f t="shared" si="19"/>
        <v>5.5210801459250065E-2</v>
      </c>
    </row>
    <row r="260" spans="1:20" x14ac:dyDescent="0.25">
      <c r="A260" t="str">
        <f t="shared" si="15"/>
        <v>December</v>
      </c>
      <c r="B260" s="5">
        <f t="shared" si="16"/>
        <v>41271</v>
      </c>
      <c r="C260">
        <v>2012</v>
      </c>
      <c r="D260">
        <v>12</v>
      </c>
      <c r="E260">
        <v>28</v>
      </c>
      <c r="F260" s="2">
        <v>148203000</v>
      </c>
      <c r="G260" s="2">
        <v>147697000</v>
      </c>
      <c r="H260" s="2">
        <v>119560000</v>
      </c>
      <c r="I260" s="2">
        <v>76322000</v>
      </c>
      <c r="J260" s="2">
        <v>43238000</v>
      </c>
      <c r="K260" s="2">
        <v>373854200</v>
      </c>
      <c r="L260" s="2">
        <v>110471000</v>
      </c>
      <c r="M260" s="3">
        <v>309.64999999999998</v>
      </c>
      <c r="N260" s="4">
        <v>2803</v>
      </c>
      <c r="O260" s="2">
        <v>82809000</v>
      </c>
      <c r="P260" s="3">
        <v>247.13</v>
      </c>
      <c r="Q260" s="4">
        <v>2984</v>
      </c>
      <c r="R260" s="2">
        <f t="shared" si="17"/>
        <v>28643000</v>
      </c>
      <c r="S260">
        <f t="shared" si="18"/>
        <v>0.8067313077333117</v>
      </c>
      <c r="T260">
        <f t="shared" si="19"/>
        <v>0.19326869226668825</v>
      </c>
    </row>
    <row r="261" spans="1:20" x14ac:dyDescent="0.25">
      <c r="A261" t="str">
        <f t="shared" ref="A261:A308" si="20">TEXT(B261,"mmmm")</f>
        <v>November</v>
      </c>
      <c r="B261" s="5">
        <f t="shared" ref="B261:B309" si="21">DATE(C261,D261,E261)</f>
        <v>41236</v>
      </c>
      <c r="C261">
        <v>2012</v>
      </c>
      <c r="D261">
        <v>11</v>
      </c>
      <c r="E261">
        <v>23</v>
      </c>
      <c r="F261" s="2">
        <v>147874000</v>
      </c>
      <c r="G261" s="2">
        <v>147284000</v>
      </c>
      <c r="H261" s="2">
        <v>119560000</v>
      </c>
      <c r="I261" s="2">
        <v>76322000</v>
      </c>
      <c r="J261" s="2">
        <v>43238000</v>
      </c>
      <c r="K261" s="2">
        <v>353974215</v>
      </c>
      <c r="L261" s="2">
        <v>110224000</v>
      </c>
      <c r="M261" s="3">
        <v>307.98</v>
      </c>
      <c r="N261" s="4">
        <v>2794</v>
      </c>
      <c r="O261" s="2">
        <v>82735000</v>
      </c>
      <c r="P261" s="3">
        <v>246.66</v>
      </c>
      <c r="Q261" s="4">
        <v>2981</v>
      </c>
      <c r="R261" s="2">
        <f t="shared" ref="R261:R308" si="22">F261-H261</f>
        <v>28314000</v>
      </c>
      <c r="S261">
        <f t="shared" ref="S261:S308" si="23">H261/F261</f>
        <v>0.80852617769181867</v>
      </c>
      <c r="T261">
        <f t="shared" ref="T261:T308" si="24">R261/F261</f>
        <v>0.1914738223081813</v>
      </c>
    </row>
    <row r="262" spans="1:20" x14ac:dyDescent="0.25">
      <c r="A262" t="str">
        <f t="shared" si="20"/>
        <v>June</v>
      </c>
      <c r="B262" s="5">
        <f t="shared" si="21"/>
        <v>41068</v>
      </c>
      <c r="C262">
        <v>2012</v>
      </c>
      <c r="D262">
        <v>6</v>
      </c>
      <c r="E262">
        <v>8</v>
      </c>
      <c r="F262" s="2">
        <v>137200000</v>
      </c>
      <c r="G262" s="2">
        <v>135097000</v>
      </c>
      <c r="H262" s="2">
        <v>113074000</v>
      </c>
      <c r="I262" s="2">
        <v>71017000</v>
      </c>
      <c r="J262" s="2">
        <v>42056000</v>
      </c>
      <c r="K262" s="2">
        <v>270997037</v>
      </c>
      <c r="L262" s="2">
        <v>104486000</v>
      </c>
      <c r="M262" s="3">
        <v>282.81</v>
      </c>
      <c r="N262" s="4">
        <v>2707</v>
      </c>
      <c r="O262" s="2">
        <v>80152000</v>
      </c>
      <c r="P262" s="3">
        <v>234.57</v>
      </c>
      <c r="Q262" s="4">
        <v>2927</v>
      </c>
      <c r="R262" s="2">
        <f t="shared" si="22"/>
        <v>24126000</v>
      </c>
      <c r="S262">
        <f t="shared" si="23"/>
        <v>0.82415451895043734</v>
      </c>
      <c r="T262">
        <f t="shared" si="24"/>
        <v>0.17584548104956269</v>
      </c>
    </row>
    <row r="263" spans="1:20" x14ac:dyDescent="0.25">
      <c r="A263" t="str">
        <f t="shared" si="20"/>
        <v>May</v>
      </c>
      <c r="B263" s="5">
        <f t="shared" si="21"/>
        <v>41040</v>
      </c>
      <c r="C263">
        <v>2012</v>
      </c>
      <c r="D263">
        <v>5</v>
      </c>
      <c r="E263">
        <v>11</v>
      </c>
      <c r="F263" s="2">
        <v>135473000</v>
      </c>
      <c r="G263" s="2">
        <v>130261000</v>
      </c>
      <c r="H263" s="2">
        <v>112089000</v>
      </c>
      <c r="I263" s="2">
        <v>70344000</v>
      </c>
      <c r="J263" s="2">
        <v>41745000</v>
      </c>
      <c r="K263" s="2">
        <v>255269615</v>
      </c>
      <c r="L263" s="2">
        <v>102522000</v>
      </c>
      <c r="M263" s="3">
        <v>277.18</v>
      </c>
      <c r="N263" s="4">
        <v>2704</v>
      </c>
      <c r="O263" s="2">
        <v>79308000</v>
      </c>
      <c r="P263" s="3">
        <v>231.66</v>
      </c>
      <c r="Q263" s="4">
        <v>2921</v>
      </c>
      <c r="R263" s="2">
        <f t="shared" si="22"/>
        <v>23384000</v>
      </c>
      <c r="S263">
        <f t="shared" si="23"/>
        <v>0.8273899596229507</v>
      </c>
      <c r="T263">
        <f t="shared" si="24"/>
        <v>0.1726100403770493</v>
      </c>
    </row>
    <row r="264" spans="1:20" x14ac:dyDescent="0.25">
      <c r="A264" t="str">
        <f t="shared" si="20"/>
        <v>May</v>
      </c>
      <c r="B264" s="5">
        <f t="shared" si="21"/>
        <v>41033</v>
      </c>
      <c r="C264">
        <v>2012</v>
      </c>
      <c r="D264">
        <v>5</v>
      </c>
      <c r="E264">
        <v>4</v>
      </c>
      <c r="F264" s="2">
        <v>134623000</v>
      </c>
      <c r="G264" s="2">
        <v>128532000</v>
      </c>
      <c r="H264" s="2">
        <v>111769000</v>
      </c>
      <c r="I264" s="2">
        <v>70130000</v>
      </c>
      <c r="J264" s="2">
        <v>41639000</v>
      </c>
      <c r="K264" s="2">
        <v>250654312</v>
      </c>
      <c r="L264" s="2">
        <v>101171000</v>
      </c>
      <c r="M264" s="3">
        <v>273.93</v>
      </c>
      <c r="N264" s="4">
        <v>2708</v>
      </c>
      <c r="O264" s="2">
        <v>78794000</v>
      </c>
      <c r="P264" s="3">
        <v>230.16</v>
      </c>
      <c r="Q264" s="4">
        <v>2921</v>
      </c>
      <c r="R264" s="2">
        <f t="shared" si="22"/>
        <v>22854000</v>
      </c>
      <c r="S264">
        <f t="shared" si="23"/>
        <v>0.83023703230502965</v>
      </c>
      <c r="T264">
        <f t="shared" si="24"/>
        <v>0.1697629676949704</v>
      </c>
    </row>
    <row r="265" spans="1:20" x14ac:dyDescent="0.25">
      <c r="A265" t="str">
        <f t="shared" si="20"/>
        <v>April</v>
      </c>
      <c r="B265" s="5">
        <f t="shared" si="21"/>
        <v>41026</v>
      </c>
      <c r="C265">
        <v>2012</v>
      </c>
      <c r="D265">
        <v>4</v>
      </c>
      <c r="E265">
        <v>27</v>
      </c>
      <c r="F265" s="2">
        <v>133530000</v>
      </c>
      <c r="G265" s="2">
        <v>126306000</v>
      </c>
      <c r="H265" s="2">
        <v>111395000</v>
      </c>
      <c r="I265" s="2">
        <v>69894000</v>
      </c>
      <c r="J265" s="2">
        <v>41501000</v>
      </c>
      <c r="K265" s="2">
        <v>245261101</v>
      </c>
      <c r="L265" s="2">
        <v>99104000</v>
      </c>
      <c r="M265" s="3">
        <v>269.14</v>
      </c>
      <c r="N265" s="4">
        <v>2716</v>
      </c>
      <c r="O265" s="2">
        <v>78007000</v>
      </c>
      <c r="P265" s="3">
        <v>227.99</v>
      </c>
      <c r="Q265" s="4">
        <v>2923</v>
      </c>
      <c r="R265" s="2">
        <f t="shared" si="22"/>
        <v>22135000</v>
      </c>
      <c r="S265">
        <f t="shared" si="23"/>
        <v>0.83423200778851192</v>
      </c>
      <c r="T265">
        <f t="shared" si="24"/>
        <v>0.16576799221148805</v>
      </c>
    </row>
    <row r="266" spans="1:20" x14ac:dyDescent="0.25">
      <c r="A266" t="str">
        <f t="shared" si="20"/>
        <v>April</v>
      </c>
      <c r="B266" s="5">
        <f t="shared" si="21"/>
        <v>41019</v>
      </c>
      <c r="C266">
        <v>2012</v>
      </c>
      <c r="D266">
        <v>4</v>
      </c>
      <c r="E266">
        <v>20</v>
      </c>
      <c r="F266" s="2">
        <v>130873000</v>
      </c>
      <c r="G266" s="2">
        <v>123332000</v>
      </c>
      <c r="H266" s="2">
        <v>110883000</v>
      </c>
      <c r="I266" s="2">
        <v>69606000</v>
      </c>
      <c r="J266" s="2">
        <v>41277000</v>
      </c>
      <c r="K266" s="2">
        <v>238757166</v>
      </c>
      <c r="L266" s="2">
        <v>95033000</v>
      </c>
      <c r="M266" s="3">
        <v>257.27</v>
      </c>
      <c r="N266" s="4">
        <v>2707</v>
      </c>
      <c r="O266" s="2">
        <v>75726000</v>
      </c>
      <c r="P266" s="3">
        <v>220.36</v>
      </c>
      <c r="Q266" s="4">
        <v>2910</v>
      </c>
      <c r="R266" s="2">
        <f t="shared" si="22"/>
        <v>19990000</v>
      </c>
      <c r="S266">
        <f t="shared" si="23"/>
        <v>0.84725650057689517</v>
      </c>
      <c r="T266">
        <f t="shared" si="24"/>
        <v>0.15274349942310483</v>
      </c>
    </row>
    <row r="267" spans="1:20" x14ac:dyDescent="0.25">
      <c r="A267" t="str">
        <f t="shared" si="20"/>
        <v>April</v>
      </c>
      <c r="B267" s="5">
        <f t="shared" si="21"/>
        <v>41012</v>
      </c>
      <c r="C267">
        <v>2012</v>
      </c>
      <c r="D267">
        <v>4</v>
      </c>
      <c r="E267">
        <v>13</v>
      </c>
      <c r="F267" s="2">
        <v>110862000</v>
      </c>
      <c r="G267" s="2">
        <v>105668000</v>
      </c>
      <c r="H267" s="2">
        <v>95943000</v>
      </c>
      <c r="I267" s="2">
        <v>60631000</v>
      </c>
      <c r="J267" s="2">
        <v>35312000</v>
      </c>
      <c r="K267" s="2">
        <v>223158096</v>
      </c>
      <c r="L267" s="2">
        <v>86078000</v>
      </c>
      <c r="M267" s="3">
        <v>237.75</v>
      </c>
      <c r="N267" s="4">
        <v>2762</v>
      </c>
      <c r="O267" s="2">
        <v>69667000</v>
      </c>
      <c r="P267" s="3">
        <v>206.09</v>
      </c>
      <c r="Q267" s="4">
        <v>2958</v>
      </c>
      <c r="R267" s="2">
        <f t="shared" si="22"/>
        <v>14919000</v>
      </c>
      <c r="S267">
        <f t="shared" si="23"/>
        <v>0.86542728797965041</v>
      </c>
      <c r="T267">
        <f t="shared" si="24"/>
        <v>0.13457271202034962</v>
      </c>
    </row>
    <row r="268" spans="1:20" x14ac:dyDescent="0.25">
      <c r="A268" t="str">
        <f t="shared" si="20"/>
        <v>April</v>
      </c>
      <c r="B268" s="5">
        <f t="shared" si="21"/>
        <v>41005</v>
      </c>
      <c r="C268">
        <v>2012</v>
      </c>
      <c r="D268">
        <v>4</v>
      </c>
      <c r="E268">
        <v>6</v>
      </c>
      <c r="F268" s="2">
        <v>99979000</v>
      </c>
      <c r="G268" s="2">
        <v>96556000</v>
      </c>
      <c r="H268" s="2">
        <v>87293000</v>
      </c>
      <c r="I268" s="2">
        <v>54664000</v>
      </c>
      <c r="J268" s="2">
        <v>32630000</v>
      </c>
      <c r="K268" s="2">
        <v>209805368</v>
      </c>
      <c r="L268" s="2">
        <v>80421000</v>
      </c>
      <c r="M268" s="3">
        <v>224.71</v>
      </c>
      <c r="N268" s="4">
        <v>2794</v>
      </c>
      <c r="O268" s="2">
        <v>65907000</v>
      </c>
      <c r="P268" s="3">
        <v>196.63</v>
      </c>
      <c r="Q268" s="4">
        <v>2983</v>
      </c>
      <c r="R268" s="2">
        <f t="shared" si="22"/>
        <v>12686000</v>
      </c>
      <c r="S268">
        <f t="shared" si="23"/>
        <v>0.87311335380429889</v>
      </c>
      <c r="T268">
        <f t="shared" si="24"/>
        <v>0.12688664619570109</v>
      </c>
    </row>
    <row r="269" spans="1:20" x14ac:dyDescent="0.25">
      <c r="A269" t="str">
        <f t="shared" si="20"/>
        <v>March</v>
      </c>
      <c r="B269" s="5">
        <f t="shared" si="21"/>
        <v>40998</v>
      </c>
      <c r="C269">
        <v>2012</v>
      </c>
      <c r="D269">
        <v>3</v>
      </c>
      <c r="E269">
        <v>30</v>
      </c>
      <c r="F269" s="2">
        <v>91900000</v>
      </c>
      <c r="G269" s="2">
        <v>89049000</v>
      </c>
      <c r="H269" s="2">
        <v>80792000</v>
      </c>
      <c r="I269" s="2">
        <v>50042000</v>
      </c>
      <c r="J269" s="2">
        <v>30751000</v>
      </c>
      <c r="K269" s="2">
        <v>189543899</v>
      </c>
      <c r="L269" s="2">
        <v>75292000</v>
      </c>
      <c r="M269" s="3">
        <v>212.79</v>
      </c>
      <c r="N269" s="4">
        <v>2826</v>
      </c>
      <c r="O269" s="2">
        <v>62493000</v>
      </c>
      <c r="P269" s="3">
        <v>187.88</v>
      </c>
      <c r="Q269" s="4">
        <v>3006</v>
      </c>
      <c r="R269" s="2">
        <f t="shared" si="22"/>
        <v>11108000</v>
      </c>
      <c r="S269">
        <f t="shared" si="23"/>
        <v>0.87912948857453754</v>
      </c>
      <c r="T269">
        <f t="shared" si="24"/>
        <v>0.12087051142546246</v>
      </c>
    </row>
    <row r="270" spans="1:20" x14ac:dyDescent="0.25">
      <c r="A270" t="str">
        <f t="shared" si="20"/>
        <v>March</v>
      </c>
      <c r="B270" s="5">
        <f t="shared" si="21"/>
        <v>40991</v>
      </c>
      <c r="C270">
        <v>2012</v>
      </c>
      <c r="D270">
        <v>3</v>
      </c>
      <c r="E270">
        <v>23</v>
      </c>
      <c r="F270" s="2">
        <v>84918000</v>
      </c>
      <c r="G270" s="2">
        <v>81984000</v>
      </c>
      <c r="H270" s="2">
        <v>75091000</v>
      </c>
      <c r="I270" s="2">
        <v>45945000</v>
      </c>
      <c r="J270" s="2">
        <v>29146000</v>
      </c>
      <c r="K270" s="2">
        <v>179683890</v>
      </c>
      <c r="L270" s="2">
        <v>70247000</v>
      </c>
      <c r="M270" s="3">
        <v>200.91</v>
      </c>
      <c r="N270" s="4">
        <v>2860</v>
      </c>
      <c r="O270" s="2">
        <v>59082000</v>
      </c>
      <c r="P270" s="3">
        <v>179.04</v>
      </c>
      <c r="Q270" s="4">
        <v>3030</v>
      </c>
      <c r="R270" s="2">
        <f t="shared" si="22"/>
        <v>9827000</v>
      </c>
      <c r="S270">
        <f t="shared" si="23"/>
        <v>0.88427659624579003</v>
      </c>
      <c r="T270">
        <f t="shared" si="24"/>
        <v>0.11572340375420995</v>
      </c>
    </row>
    <row r="271" spans="1:20" x14ac:dyDescent="0.25">
      <c r="A271" t="str">
        <f t="shared" si="20"/>
        <v>March</v>
      </c>
      <c r="B271" s="5">
        <f t="shared" si="21"/>
        <v>40984</v>
      </c>
      <c r="C271">
        <v>2012</v>
      </c>
      <c r="D271">
        <v>3</v>
      </c>
      <c r="E271">
        <v>16</v>
      </c>
      <c r="F271" s="2">
        <v>78348000</v>
      </c>
      <c r="G271" s="2">
        <v>75284000</v>
      </c>
      <c r="H271" s="2">
        <v>69675000</v>
      </c>
      <c r="I271" s="2">
        <v>42111000</v>
      </c>
      <c r="J271" s="2">
        <v>27564000</v>
      </c>
      <c r="K271" s="2">
        <v>167038289</v>
      </c>
      <c r="L271" s="2">
        <v>65073000</v>
      </c>
      <c r="M271" s="3">
        <v>188.62</v>
      </c>
      <c r="N271" s="4">
        <v>2899</v>
      </c>
      <c r="O271" s="2">
        <v>55557000</v>
      </c>
      <c r="P271" s="3">
        <v>169.75</v>
      </c>
      <c r="Q271" s="4">
        <v>3055</v>
      </c>
      <c r="R271" s="2">
        <f t="shared" si="22"/>
        <v>8673000</v>
      </c>
      <c r="S271">
        <f t="shared" si="23"/>
        <v>0.88930157757696426</v>
      </c>
      <c r="T271">
        <f t="shared" si="24"/>
        <v>0.11069842242303568</v>
      </c>
    </row>
    <row r="272" spans="1:20" x14ac:dyDescent="0.25">
      <c r="A272" t="str">
        <f t="shared" si="20"/>
        <v>March</v>
      </c>
      <c r="B272" s="5">
        <f t="shared" si="21"/>
        <v>40977</v>
      </c>
      <c r="C272">
        <v>2012</v>
      </c>
      <c r="D272">
        <v>3</v>
      </c>
      <c r="E272">
        <v>9</v>
      </c>
      <c r="F272" s="2">
        <v>71567000</v>
      </c>
      <c r="G272" s="2">
        <v>68074000</v>
      </c>
      <c r="H272" s="2">
        <v>64068000</v>
      </c>
      <c r="I272" s="2">
        <v>38189000</v>
      </c>
      <c r="J272" s="2">
        <v>25879000</v>
      </c>
      <c r="K272" s="2">
        <v>167038289</v>
      </c>
      <c r="L272" s="2">
        <v>59239000</v>
      </c>
      <c r="M272" s="3">
        <v>174.4</v>
      </c>
      <c r="N272" s="4">
        <v>2944</v>
      </c>
      <c r="O272" s="2">
        <v>51392000</v>
      </c>
      <c r="P272" s="3">
        <v>158.62</v>
      </c>
      <c r="Q272" s="4">
        <v>3086</v>
      </c>
      <c r="R272" s="2">
        <f t="shared" si="22"/>
        <v>7499000</v>
      </c>
      <c r="S272">
        <f t="shared" si="23"/>
        <v>0.8952170693196585</v>
      </c>
      <c r="T272">
        <f t="shared" si="24"/>
        <v>0.1047829306803415</v>
      </c>
    </row>
    <row r="273" spans="1:20" x14ac:dyDescent="0.25">
      <c r="A273" t="str">
        <f t="shared" si="20"/>
        <v>March</v>
      </c>
      <c r="B273" s="5">
        <f t="shared" si="21"/>
        <v>40970</v>
      </c>
      <c r="C273">
        <v>2012</v>
      </c>
      <c r="D273">
        <v>3</v>
      </c>
      <c r="E273">
        <v>2</v>
      </c>
      <c r="F273" s="2">
        <v>64265000</v>
      </c>
      <c r="G273" s="2">
        <v>59561000</v>
      </c>
      <c r="H273" s="2">
        <v>57981000</v>
      </c>
      <c r="I273" s="2">
        <v>34026000</v>
      </c>
      <c r="J273" s="2">
        <v>23955000</v>
      </c>
      <c r="K273" s="2">
        <v>139202456</v>
      </c>
      <c r="L273" s="2">
        <v>52399000</v>
      </c>
      <c r="M273" s="3">
        <v>157.59</v>
      </c>
      <c r="N273" s="4">
        <v>3007</v>
      </c>
      <c r="O273" s="2">
        <v>46265000</v>
      </c>
      <c r="P273" s="3">
        <v>144.97</v>
      </c>
      <c r="Q273" s="4">
        <v>3133</v>
      </c>
      <c r="R273" s="2">
        <f t="shared" si="22"/>
        <v>6284000</v>
      </c>
      <c r="S273">
        <f t="shared" si="23"/>
        <v>0.90221738115615036</v>
      </c>
      <c r="T273">
        <f t="shared" si="24"/>
        <v>9.7782618843849686E-2</v>
      </c>
    </row>
    <row r="274" spans="1:20" x14ac:dyDescent="0.25">
      <c r="A274" t="str">
        <f t="shared" si="20"/>
        <v>December</v>
      </c>
      <c r="B274" s="5">
        <f t="shared" si="21"/>
        <v>40907</v>
      </c>
      <c r="C274">
        <v>2011</v>
      </c>
      <c r="D274">
        <v>12</v>
      </c>
      <c r="E274">
        <v>30</v>
      </c>
      <c r="F274" s="2">
        <v>145320000</v>
      </c>
      <c r="G274" s="2">
        <v>145062000</v>
      </c>
      <c r="H274" s="2">
        <v>112203000</v>
      </c>
      <c r="I274" s="2">
        <v>72426000</v>
      </c>
      <c r="J274" s="2">
        <v>39777000</v>
      </c>
      <c r="K274" s="2">
        <v>322540490</v>
      </c>
      <c r="L274" s="2">
        <v>109337000</v>
      </c>
      <c r="M274" s="3">
        <v>318.52999999999997</v>
      </c>
      <c r="N274" s="4">
        <v>2913</v>
      </c>
      <c r="O274" s="2">
        <v>79146000</v>
      </c>
      <c r="P274" s="3">
        <v>246.08</v>
      </c>
      <c r="Q274" s="4">
        <v>3109</v>
      </c>
      <c r="R274" s="2">
        <f t="shared" si="22"/>
        <v>33117000</v>
      </c>
      <c r="S274">
        <f t="shared" si="23"/>
        <v>0.77210982658959537</v>
      </c>
      <c r="T274">
        <f t="shared" si="24"/>
        <v>0.22789017341040463</v>
      </c>
    </row>
    <row r="275" spans="1:20" x14ac:dyDescent="0.25">
      <c r="A275" t="str">
        <f t="shared" si="20"/>
        <v>June</v>
      </c>
      <c r="B275" s="5">
        <f t="shared" si="21"/>
        <v>40704</v>
      </c>
      <c r="C275">
        <v>2011</v>
      </c>
      <c r="D275">
        <v>6</v>
      </c>
      <c r="E275">
        <v>10</v>
      </c>
      <c r="F275" s="2">
        <v>134276000</v>
      </c>
      <c r="G275" s="2">
        <v>133456000</v>
      </c>
      <c r="H275" s="2">
        <v>106432000</v>
      </c>
      <c r="I275" s="2">
        <v>68097000</v>
      </c>
      <c r="J275" s="2">
        <v>38335000</v>
      </c>
      <c r="K275" s="2">
        <v>226296316</v>
      </c>
      <c r="L275" s="2">
        <v>103144000</v>
      </c>
      <c r="M275" s="3">
        <v>289.33999999999997</v>
      </c>
      <c r="N275" s="4">
        <v>2805</v>
      </c>
      <c r="O275" s="2">
        <v>76434000</v>
      </c>
      <c r="P275" s="3">
        <v>232.91</v>
      </c>
      <c r="Q275" s="4">
        <v>3047</v>
      </c>
      <c r="R275" s="2">
        <f t="shared" si="22"/>
        <v>27844000</v>
      </c>
      <c r="S275">
        <f t="shared" si="23"/>
        <v>0.79263606303434719</v>
      </c>
      <c r="T275">
        <f t="shared" si="24"/>
        <v>0.20736393696565283</v>
      </c>
    </row>
    <row r="276" spans="1:20" x14ac:dyDescent="0.25">
      <c r="A276" t="str">
        <f t="shared" si="20"/>
        <v>June</v>
      </c>
      <c r="B276" s="5">
        <f t="shared" si="21"/>
        <v>40697</v>
      </c>
      <c r="C276">
        <v>2011</v>
      </c>
      <c r="D276">
        <v>6</v>
      </c>
      <c r="E276">
        <v>3</v>
      </c>
      <c r="F276" s="2">
        <v>133808000</v>
      </c>
      <c r="G276" s="2">
        <v>132530000</v>
      </c>
      <c r="H276" s="2">
        <v>106233000</v>
      </c>
      <c r="I276" s="2">
        <v>67962000</v>
      </c>
      <c r="J276" s="2">
        <v>38272000</v>
      </c>
      <c r="K276" s="2">
        <v>223723476</v>
      </c>
      <c r="L276" s="2">
        <v>102728000</v>
      </c>
      <c r="M276" s="3">
        <v>288.14999999999998</v>
      </c>
      <c r="N276" s="4">
        <v>2805</v>
      </c>
      <c r="O276" s="2">
        <v>76276000</v>
      </c>
      <c r="P276" s="3">
        <v>232.31</v>
      </c>
      <c r="Q276" s="4">
        <v>3046</v>
      </c>
      <c r="R276" s="2">
        <f t="shared" si="22"/>
        <v>27575000</v>
      </c>
      <c r="S276">
        <f t="shared" si="23"/>
        <v>0.79392114073896924</v>
      </c>
      <c r="T276">
        <f t="shared" si="24"/>
        <v>0.20607885926103073</v>
      </c>
    </row>
    <row r="277" spans="1:20" x14ac:dyDescent="0.25">
      <c r="A277" t="str">
        <f t="shared" si="20"/>
        <v>May</v>
      </c>
      <c r="B277" s="5">
        <f t="shared" si="21"/>
        <v>40676</v>
      </c>
      <c r="C277">
        <v>2011</v>
      </c>
      <c r="D277">
        <v>5</v>
      </c>
      <c r="E277">
        <v>13</v>
      </c>
      <c r="F277" s="2">
        <v>132433000</v>
      </c>
      <c r="G277" s="2">
        <v>128697000</v>
      </c>
      <c r="H277" s="2">
        <v>105553000</v>
      </c>
      <c r="I277" s="2">
        <v>67470000</v>
      </c>
      <c r="J277" s="2">
        <v>38083000</v>
      </c>
      <c r="K277" s="2">
        <v>213755988</v>
      </c>
      <c r="L277" s="2">
        <v>101097000</v>
      </c>
      <c r="M277" s="3">
        <v>284.08</v>
      </c>
      <c r="N277" s="4">
        <v>2810</v>
      </c>
      <c r="O277" s="2">
        <v>75701000</v>
      </c>
      <c r="P277" s="3">
        <v>230.33</v>
      </c>
      <c r="Q277" s="4">
        <v>3043</v>
      </c>
      <c r="R277" s="2">
        <f t="shared" si="22"/>
        <v>26880000</v>
      </c>
      <c r="S277">
        <f t="shared" si="23"/>
        <v>0.79702944130239439</v>
      </c>
      <c r="T277">
        <f t="shared" si="24"/>
        <v>0.20297055869760558</v>
      </c>
    </row>
    <row r="278" spans="1:20" x14ac:dyDescent="0.25">
      <c r="A278" t="str">
        <f t="shared" si="20"/>
        <v>May</v>
      </c>
      <c r="B278" s="5">
        <f t="shared" si="21"/>
        <v>40669</v>
      </c>
      <c r="C278">
        <v>2011</v>
      </c>
      <c r="D278">
        <v>5</v>
      </c>
      <c r="E278">
        <v>6</v>
      </c>
      <c r="F278" s="2">
        <v>131828000</v>
      </c>
      <c r="G278" s="2">
        <v>126507000</v>
      </c>
      <c r="H278" s="2">
        <v>105277000</v>
      </c>
      <c r="I278" s="2">
        <v>67303000</v>
      </c>
      <c r="J278" s="2">
        <v>37974000</v>
      </c>
      <c r="K278" s="2">
        <v>209783439</v>
      </c>
      <c r="L278" s="2">
        <v>100252000</v>
      </c>
      <c r="M278" s="3">
        <v>281.83999999999997</v>
      </c>
      <c r="N278" s="4">
        <v>2811</v>
      </c>
      <c r="O278" s="2">
        <v>75374000</v>
      </c>
      <c r="P278" s="3">
        <v>229.23</v>
      </c>
      <c r="Q278" s="4">
        <v>3041</v>
      </c>
      <c r="R278" s="2">
        <f t="shared" si="22"/>
        <v>26551000</v>
      </c>
      <c r="S278">
        <f t="shared" si="23"/>
        <v>0.798593621992293</v>
      </c>
      <c r="T278">
        <f t="shared" si="24"/>
        <v>0.201406378007707</v>
      </c>
    </row>
    <row r="279" spans="1:20" x14ac:dyDescent="0.25">
      <c r="A279" t="str">
        <f t="shared" si="20"/>
        <v>April</v>
      </c>
      <c r="B279" s="5">
        <f t="shared" si="21"/>
        <v>40662</v>
      </c>
      <c r="C279">
        <v>2011</v>
      </c>
      <c r="D279">
        <v>4</v>
      </c>
      <c r="E279">
        <v>29</v>
      </c>
      <c r="F279" s="2">
        <v>130692000</v>
      </c>
      <c r="G279" s="2">
        <v>123800000</v>
      </c>
      <c r="H279" s="2">
        <v>104936000</v>
      </c>
      <c r="I279" s="2">
        <v>67082000</v>
      </c>
      <c r="J279" s="2">
        <v>37854000</v>
      </c>
      <c r="K279" s="2">
        <v>204221980</v>
      </c>
      <c r="L279" s="2">
        <v>98213000</v>
      </c>
      <c r="M279" s="3">
        <v>277.14999999999998</v>
      </c>
      <c r="N279" s="4">
        <v>2822</v>
      </c>
      <c r="O279" s="2">
        <v>74653000</v>
      </c>
      <c r="P279" s="3">
        <v>227.21</v>
      </c>
      <c r="Q279" s="4">
        <v>3044</v>
      </c>
      <c r="R279" s="2">
        <f t="shared" si="22"/>
        <v>25756000</v>
      </c>
      <c r="S279">
        <f t="shared" si="23"/>
        <v>0.80292596333363941</v>
      </c>
      <c r="T279">
        <f t="shared" si="24"/>
        <v>0.19707403666636061</v>
      </c>
    </row>
    <row r="280" spans="1:20" x14ac:dyDescent="0.25">
      <c r="A280" t="str">
        <f t="shared" si="20"/>
        <v>April</v>
      </c>
      <c r="B280" s="5">
        <f t="shared" si="21"/>
        <v>40655</v>
      </c>
      <c r="C280">
        <v>2011</v>
      </c>
      <c r="D280">
        <v>4</v>
      </c>
      <c r="E280">
        <v>22</v>
      </c>
      <c r="F280" s="2">
        <v>128559000</v>
      </c>
      <c r="G280" s="2">
        <v>120279000</v>
      </c>
      <c r="H280" s="2">
        <v>104516000</v>
      </c>
      <c r="I280" s="2">
        <v>66842000</v>
      </c>
      <c r="J280" s="2">
        <v>37673000</v>
      </c>
      <c r="K280" s="2">
        <v>198745670</v>
      </c>
      <c r="L280" s="2">
        <v>95745000</v>
      </c>
      <c r="M280" s="3">
        <v>271.33</v>
      </c>
      <c r="N280" s="4">
        <v>2834</v>
      </c>
      <c r="O280" s="2">
        <v>73759000</v>
      </c>
      <c r="P280" s="3">
        <v>224.63</v>
      </c>
      <c r="Q280" s="4">
        <v>3045</v>
      </c>
      <c r="R280" s="2">
        <f t="shared" si="22"/>
        <v>24043000</v>
      </c>
      <c r="S280">
        <f t="shared" si="23"/>
        <v>0.81298081036722436</v>
      </c>
      <c r="T280">
        <f t="shared" si="24"/>
        <v>0.18701918963277561</v>
      </c>
    </row>
    <row r="281" spans="1:20" x14ac:dyDescent="0.25">
      <c r="A281" t="str">
        <f t="shared" si="20"/>
        <v>April</v>
      </c>
      <c r="B281" s="5">
        <f t="shared" si="21"/>
        <v>40648</v>
      </c>
      <c r="C281">
        <v>2011</v>
      </c>
      <c r="D281">
        <v>4</v>
      </c>
      <c r="E281">
        <v>15</v>
      </c>
      <c r="F281" s="2">
        <v>111563000</v>
      </c>
      <c r="G281" s="2">
        <v>107401000</v>
      </c>
      <c r="H281" s="2">
        <v>93578000</v>
      </c>
      <c r="I281" s="2">
        <v>60399000</v>
      </c>
      <c r="J281" s="2">
        <v>33179000</v>
      </c>
      <c r="K281" s="2">
        <v>184409608</v>
      </c>
      <c r="L281" s="2">
        <v>88157000</v>
      </c>
      <c r="M281" s="3">
        <v>252.6</v>
      </c>
      <c r="N281" s="4">
        <v>2865</v>
      </c>
      <c r="O281" s="2">
        <v>69030000</v>
      </c>
      <c r="P281" s="3">
        <v>212.19</v>
      </c>
      <c r="Q281" s="4">
        <v>3074</v>
      </c>
      <c r="R281" s="2">
        <f t="shared" si="22"/>
        <v>17985000</v>
      </c>
      <c r="S281">
        <f t="shared" si="23"/>
        <v>0.83879063847332902</v>
      </c>
      <c r="T281">
        <f t="shared" si="24"/>
        <v>0.16120936152667104</v>
      </c>
    </row>
    <row r="282" spans="1:20" x14ac:dyDescent="0.25">
      <c r="A282" t="str">
        <f t="shared" si="20"/>
        <v>April</v>
      </c>
      <c r="B282" s="5">
        <f t="shared" si="21"/>
        <v>40641</v>
      </c>
      <c r="C282">
        <v>2011</v>
      </c>
      <c r="D282">
        <v>4</v>
      </c>
      <c r="E282">
        <v>8</v>
      </c>
      <c r="F282" s="2">
        <v>97029000</v>
      </c>
      <c r="G282" s="2">
        <v>96153000</v>
      </c>
      <c r="H282" s="2">
        <v>83656000</v>
      </c>
      <c r="I282" s="2">
        <v>53652000</v>
      </c>
      <c r="J282" s="2">
        <v>30004000</v>
      </c>
      <c r="K282" s="2">
        <v>169633414</v>
      </c>
      <c r="L282" s="2">
        <v>80874000</v>
      </c>
      <c r="M282" s="3">
        <v>234.16</v>
      </c>
      <c r="N282" s="4">
        <v>2895</v>
      </c>
      <c r="O282" s="2">
        <v>64343000</v>
      </c>
      <c r="P282" s="3">
        <v>199.49</v>
      </c>
      <c r="Q282" s="4">
        <v>3100</v>
      </c>
      <c r="R282" s="2">
        <f t="shared" si="22"/>
        <v>13373000</v>
      </c>
      <c r="S282">
        <f t="shared" si="23"/>
        <v>0.86217522596337182</v>
      </c>
      <c r="T282">
        <f t="shared" si="24"/>
        <v>0.13782477403662821</v>
      </c>
    </row>
    <row r="283" spans="1:20" x14ac:dyDescent="0.25">
      <c r="A283" t="str">
        <f t="shared" si="20"/>
        <v>April</v>
      </c>
      <c r="B283" s="5">
        <f t="shared" si="21"/>
        <v>40634</v>
      </c>
      <c r="C283">
        <v>2011</v>
      </c>
      <c r="D283">
        <v>4</v>
      </c>
      <c r="E283">
        <v>1</v>
      </c>
      <c r="F283" s="2">
        <v>89719000</v>
      </c>
      <c r="G283" s="2">
        <v>87595000</v>
      </c>
      <c r="H283" s="2">
        <v>76901000</v>
      </c>
      <c r="I283" s="2">
        <v>48867000</v>
      </c>
      <c r="J283" s="2">
        <v>28034000</v>
      </c>
      <c r="K283" s="2">
        <v>158852544</v>
      </c>
      <c r="L283" s="2">
        <v>75227000</v>
      </c>
      <c r="M283" s="3">
        <v>219.79</v>
      </c>
      <c r="N283" s="4">
        <v>2922</v>
      </c>
      <c r="O283" s="2">
        <v>60700000</v>
      </c>
      <c r="P283" s="3">
        <v>189.39</v>
      </c>
      <c r="Q283" s="4">
        <v>3120</v>
      </c>
      <c r="R283" s="2">
        <f t="shared" si="22"/>
        <v>12818000</v>
      </c>
      <c r="S283">
        <f t="shared" si="23"/>
        <v>0.85713171123173459</v>
      </c>
      <c r="T283">
        <f t="shared" si="24"/>
        <v>0.14286828876826535</v>
      </c>
    </row>
    <row r="284" spans="1:20" x14ac:dyDescent="0.25">
      <c r="A284" t="str">
        <f t="shared" si="20"/>
        <v>March</v>
      </c>
      <c r="B284" s="5">
        <f t="shared" si="21"/>
        <v>40627</v>
      </c>
      <c r="C284">
        <v>2011</v>
      </c>
      <c r="D284">
        <v>3</v>
      </c>
      <c r="E284">
        <v>25</v>
      </c>
      <c r="F284" s="2">
        <v>82281000</v>
      </c>
      <c r="G284" s="2">
        <v>80318000</v>
      </c>
      <c r="H284" s="2">
        <v>71072000</v>
      </c>
      <c r="I284" s="2">
        <v>44717000</v>
      </c>
      <c r="J284" s="2">
        <v>26355000</v>
      </c>
      <c r="K284" s="2">
        <v>151305611</v>
      </c>
      <c r="L284" s="2">
        <v>69955000</v>
      </c>
      <c r="M284" s="3">
        <v>206.48</v>
      </c>
      <c r="N284" s="4">
        <v>2952</v>
      </c>
      <c r="O284" s="2">
        <v>57251000</v>
      </c>
      <c r="P284" s="3">
        <v>179.83</v>
      </c>
      <c r="Q284" s="4">
        <v>3141</v>
      </c>
      <c r="R284" s="2">
        <f t="shared" si="22"/>
        <v>11209000</v>
      </c>
      <c r="S284">
        <f t="shared" si="23"/>
        <v>0.86377170914305856</v>
      </c>
      <c r="T284">
        <f t="shared" si="24"/>
        <v>0.13622829085694146</v>
      </c>
    </row>
    <row r="285" spans="1:20" x14ac:dyDescent="0.25">
      <c r="A285" t="str">
        <f t="shared" si="20"/>
        <v>March</v>
      </c>
      <c r="B285" s="5">
        <f t="shared" si="21"/>
        <v>40620</v>
      </c>
      <c r="C285">
        <v>2011</v>
      </c>
      <c r="D285">
        <v>3</v>
      </c>
      <c r="E285">
        <v>18</v>
      </c>
      <c r="F285" s="2">
        <v>74361000</v>
      </c>
      <c r="G285" s="2">
        <v>73342000</v>
      </c>
      <c r="H285" s="2">
        <v>64628000</v>
      </c>
      <c r="I285" s="2">
        <v>40078000</v>
      </c>
      <c r="J285" s="2">
        <v>24550000</v>
      </c>
      <c r="K285" s="2">
        <v>138980918</v>
      </c>
      <c r="L285" s="2">
        <v>64672000</v>
      </c>
      <c r="M285" s="3">
        <v>193.06</v>
      </c>
      <c r="N285" s="4">
        <v>2985</v>
      </c>
      <c r="O285" s="2">
        <v>53736000</v>
      </c>
      <c r="P285" s="3">
        <v>170.01</v>
      </c>
      <c r="Q285" s="4">
        <v>3164</v>
      </c>
      <c r="R285" s="2">
        <f t="shared" si="22"/>
        <v>9733000</v>
      </c>
      <c r="S285">
        <f t="shared" si="23"/>
        <v>0.86911149661785081</v>
      </c>
      <c r="T285">
        <f t="shared" si="24"/>
        <v>0.13088850338214925</v>
      </c>
    </row>
    <row r="286" spans="1:20" x14ac:dyDescent="0.25">
      <c r="A286" t="str">
        <f t="shared" si="20"/>
        <v>March</v>
      </c>
      <c r="B286" s="5">
        <f t="shared" si="21"/>
        <v>40613</v>
      </c>
      <c r="C286">
        <v>2011</v>
      </c>
      <c r="D286">
        <v>3</v>
      </c>
      <c r="E286">
        <v>11</v>
      </c>
      <c r="F286" s="2">
        <v>68195000</v>
      </c>
      <c r="G286" s="2">
        <v>66159000</v>
      </c>
      <c r="H286" s="2">
        <v>59948000</v>
      </c>
      <c r="I286" s="2">
        <v>36840000</v>
      </c>
      <c r="J286" s="2">
        <v>23108000</v>
      </c>
      <c r="K286" s="2">
        <v>131128908</v>
      </c>
      <c r="L286" s="2">
        <v>59005000</v>
      </c>
      <c r="M286" s="3">
        <v>178.36</v>
      </c>
      <c r="N286" s="4">
        <v>3023</v>
      </c>
      <c r="O286" s="2">
        <v>49896000</v>
      </c>
      <c r="P286" s="3">
        <v>159.08000000000001</v>
      </c>
      <c r="Q286" s="4">
        <v>3188</v>
      </c>
      <c r="R286" s="2">
        <f t="shared" si="22"/>
        <v>8247000</v>
      </c>
      <c r="S286">
        <f t="shared" si="23"/>
        <v>0.87906738030647413</v>
      </c>
      <c r="T286">
        <f t="shared" si="24"/>
        <v>0.12093261969352592</v>
      </c>
    </row>
    <row r="287" spans="1:20" x14ac:dyDescent="0.25">
      <c r="A287" t="str">
        <f t="shared" si="20"/>
        <v>March</v>
      </c>
      <c r="B287" s="5">
        <f t="shared" si="21"/>
        <v>40606</v>
      </c>
      <c r="C287">
        <v>2011</v>
      </c>
      <c r="D287">
        <v>3</v>
      </c>
      <c r="E287">
        <v>4</v>
      </c>
      <c r="F287" s="2">
        <v>60536000</v>
      </c>
      <c r="G287" s="2">
        <v>58282000</v>
      </c>
      <c r="H287" s="2">
        <v>53863000</v>
      </c>
      <c r="I287" s="2">
        <v>32680000</v>
      </c>
      <c r="J287" s="2">
        <v>21182000</v>
      </c>
      <c r="K287" s="2">
        <v>119793481</v>
      </c>
      <c r="L287" s="2">
        <v>52564000</v>
      </c>
      <c r="M287" s="3">
        <v>161.35</v>
      </c>
      <c r="N287" s="4">
        <v>3070</v>
      </c>
      <c r="O287" s="2">
        <v>45357000</v>
      </c>
      <c r="P287" s="3">
        <v>145.97</v>
      </c>
      <c r="Q287" s="4">
        <v>3218</v>
      </c>
      <c r="R287" s="2">
        <f t="shared" si="22"/>
        <v>6673000</v>
      </c>
      <c r="S287">
        <f t="shared" si="23"/>
        <v>0.88976807189110607</v>
      </c>
      <c r="T287">
        <f t="shared" si="24"/>
        <v>0.11023192810889389</v>
      </c>
    </row>
    <row r="288" spans="1:20" x14ac:dyDescent="0.25">
      <c r="A288" t="str">
        <f t="shared" si="20"/>
        <v>February</v>
      </c>
      <c r="B288" s="5">
        <f t="shared" si="21"/>
        <v>40599</v>
      </c>
      <c r="C288">
        <v>2011</v>
      </c>
      <c r="D288">
        <v>2</v>
      </c>
      <c r="E288">
        <v>25</v>
      </c>
      <c r="F288" s="2">
        <v>51927000</v>
      </c>
      <c r="G288" s="2">
        <v>49278000</v>
      </c>
      <c r="H288" s="2">
        <v>46868000</v>
      </c>
      <c r="I288" s="2">
        <v>27983000</v>
      </c>
      <c r="J288" s="2">
        <v>18885000</v>
      </c>
      <c r="K288" s="2">
        <v>107028830</v>
      </c>
      <c r="L288" s="2">
        <v>45077000</v>
      </c>
      <c r="M288" s="3">
        <v>141.05000000000001</v>
      </c>
      <c r="N288" s="4">
        <v>3129</v>
      </c>
      <c r="O288" s="2">
        <v>39821000</v>
      </c>
      <c r="P288" s="3">
        <v>129.68</v>
      </c>
      <c r="Q288" s="4">
        <v>3257</v>
      </c>
      <c r="R288" s="2">
        <f t="shared" si="22"/>
        <v>5059000</v>
      </c>
      <c r="S288">
        <f t="shared" si="23"/>
        <v>0.90257476842490414</v>
      </c>
      <c r="T288">
        <f t="shared" si="24"/>
        <v>9.7425231575095805E-2</v>
      </c>
    </row>
    <row r="289" spans="1:20" x14ac:dyDescent="0.25">
      <c r="A289" t="str">
        <f t="shared" si="20"/>
        <v>December</v>
      </c>
      <c r="B289" s="5">
        <f t="shared" si="21"/>
        <v>40543</v>
      </c>
      <c r="C289">
        <v>2010</v>
      </c>
      <c r="D289">
        <v>12</v>
      </c>
      <c r="E289">
        <v>31</v>
      </c>
      <c r="F289" s="2">
        <v>142449000</v>
      </c>
      <c r="G289" s="2">
        <v>142196000</v>
      </c>
      <c r="H289" s="2">
        <v>98740000</v>
      </c>
      <c r="I289" s="2">
        <v>63893000</v>
      </c>
      <c r="J289" s="2">
        <v>34848000</v>
      </c>
      <c r="K289" s="2">
        <v>307466046</v>
      </c>
      <c r="L289" s="2">
        <v>109376000</v>
      </c>
      <c r="M289" s="3">
        <v>328.44</v>
      </c>
      <c r="N289" s="4">
        <v>3003</v>
      </c>
      <c r="O289" s="2">
        <v>74590000</v>
      </c>
      <c r="P289" s="3">
        <v>238.05</v>
      </c>
      <c r="Q289" s="4">
        <v>3191</v>
      </c>
      <c r="R289" s="2">
        <f t="shared" si="22"/>
        <v>43709000</v>
      </c>
      <c r="S289">
        <f t="shared" si="23"/>
        <v>0.69316035914608032</v>
      </c>
      <c r="T289">
        <f t="shared" si="24"/>
        <v>0.30683964085391963</v>
      </c>
    </row>
    <row r="290" spans="1:20" x14ac:dyDescent="0.25">
      <c r="A290" t="str">
        <f t="shared" si="20"/>
        <v>October</v>
      </c>
      <c r="B290" s="5">
        <f t="shared" si="21"/>
        <v>40466</v>
      </c>
      <c r="C290">
        <v>2010</v>
      </c>
      <c r="D290">
        <v>10</v>
      </c>
      <c r="E290">
        <v>15</v>
      </c>
      <c r="F290" s="2">
        <v>138967000</v>
      </c>
      <c r="G290" s="2">
        <v>138357000</v>
      </c>
      <c r="H290" s="2">
        <v>97788000</v>
      </c>
      <c r="I290" s="2">
        <v>63084000</v>
      </c>
      <c r="J290" s="2">
        <v>34703000</v>
      </c>
      <c r="K290" s="2">
        <v>272388327</v>
      </c>
      <c r="L290" s="2">
        <v>107724000</v>
      </c>
      <c r="M290" s="3">
        <v>315.86</v>
      </c>
      <c r="N290" s="4">
        <v>2932</v>
      </c>
      <c r="O290" s="2">
        <v>73078000</v>
      </c>
      <c r="P290" s="3">
        <v>234.82</v>
      </c>
      <c r="Q290" s="4">
        <v>3170</v>
      </c>
      <c r="R290" s="2">
        <f t="shared" si="22"/>
        <v>41179000</v>
      </c>
      <c r="S290">
        <f t="shared" si="23"/>
        <v>0.70367785157627349</v>
      </c>
      <c r="T290">
        <f t="shared" si="24"/>
        <v>0.29632214842372651</v>
      </c>
    </row>
    <row r="291" spans="1:20" x14ac:dyDescent="0.25">
      <c r="A291" t="str">
        <f t="shared" si="20"/>
        <v>June</v>
      </c>
      <c r="B291" s="5">
        <f t="shared" si="21"/>
        <v>40333</v>
      </c>
      <c r="C291">
        <v>2010</v>
      </c>
      <c r="D291">
        <v>6</v>
      </c>
      <c r="E291">
        <v>4</v>
      </c>
      <c r="F291" s="2">
        <v>132050000</v>
      </c>
      <c r="G291" s="2">
        <v>129054000</v>
      </c>
      <c r="H291" s="2">
        <v>94604000</v>
      </c>
      <c r="I291" s="2">
        <v>60607000</v>
      </c>
      <c r="J291" s="2">
        <v>33998000</v>
      </c>
      <c r="K291" s="2">
        <v>213744014</v>
      </c>
      <c r="L291" s="2">
        <v>101820000</v>
      </c>
      <c r="M291" s="3">
        <v>293.26</v>
      </c>
      <c r="N291" s="4">
        <v>2880</v>
      </c>
      <c r="O291" s="2">
        <v>72056000</v>
      </c>
      <c r="P291" s="3">
        <v>226.06</v>
      </c>
      <c r="Q291" s="4">
        <v>3137</v>
      </c>
      <c r="R291" s="2">
        <f t="shared" si="22"/>
        <v>37446000</v>
      </c>
      <c r="S291">
        <f t="shared" si="23"/>
        <v>0.71642559636501324</v>
      </c>
      <c r="T291">
        <f t="shared" si="24"/>
        <v>0.28357440363498676</v>
      </c>
    </row>
    <row r="292" spans="1:20" x14ac:dyDescent="0.25">
      <c r="A292" t="str">
        <f t="shared" si="20"/>
        <v>May</v>
      </c>
      <c r="B292" s="5">
        <f t="shared" si="21"/>
        <v>40312</v>
      </c>
      <c r="C292">
        <v>2010</v>
      </c>
      <c r="D292">
        <v>5</v>
      </c>
      <c r="E292">
        <v>14</v>
      </c>
      <c r="F292" s="2">
        <v>130684000</v>
      </c>
      <c r="G292" s="2">
        <v>123759000</v>
      </c>
      <c r="H292" s="2">
        <v>94070000</v>
      </c>
      <c r="I292" s="2">
        <v>60212000</v>
      </c>
      <c r="J292" s="2">
        <v>33858000</v>
      </c>
      <c r="K292" s="2">
        <v>202911715</v>
      </c>
      <c r="L292" s="2">
        <v>99758000</v>
      </c>
      <c r="M292" s="3">
        <v>287.77</v>
      </c>
      <c r="N292" s="4">
        <v>2885</v>
      </c>
      <c r="O292" s="2">
        <v>71463000</v>
      </c>
      <c r="P292" s="3">
        <v>223.75</v>
      </c>
      <c r="Q292" s="4">
        <v>3131</v>
      </c>
      <c r="R292" s="2">
        <f t="shared" si="22"/>
        <v>36614000</v>
      </c>
      <c r="S292">
        <f t="shared" si="23"/>
        <v>0.7198279820023874</v>
      </c>
      <c r="T292">
        <f t="shared" si="24"/>
        <v>0.28017201799761254</v>
      </c>
    </row>
    <row r="293" spans="1:20" x14ac:dyDescent="0.25">
      <c r="A293" t="str">
        <f t="shared" si="20"/>
        <v>May</v>
      </c>
      <c r="B293" s="5">
        <f t="shared" si="21"/>
        <v>40305</v>
      </c>
      <c r="C293">
        <v>2010</v>
      </c>
      <c r="D293">
        <v>5</v>
      </c>
      <c r="E293">
        <v>7</v>
      </c>
      <c r="F293" s="2">
        <v>129981000</v>
      </c>
      <c r="G293" s="2">
        <v>120897000</v>
      </c>
      <c r="H293" s="2">
        <v>93752000</v>
      </c>
      <c r="I293" s="2">
        <v>59990000</v>
      </c>
      <c r="J293" s="2">
        <v>33762000</v>
      </c>
      <c r="K293" s="2">
        <v>198557847</v>
      </c>
      <c r="L293" s="2">
        <v>98709000</v>
      </c>
      <c r="M293" s="3">
        <v>284.62</v>
      </c>
      <c r="N293" s="4">
        <v>2883</v>
      </c>
      <c r="O293" s="2">
        <v>71103000</v>
      </c>
      <c r="P293" s="3">
        <v>222.51</v>
      </c>
      <c r="Q293" s="4">
        <v>3129</v>
      </c>
      <c r="R293" s="2">
        <f t="shared" si="22"/>
        <v>36229000</v>
      </c>
      <c r="S293">
        <f t="shared" si="23"/>
        <v>0.72127464783314488</v>
      </c>
      <c r="T293">
        <f t="shared" si="24"/>
        <v>0.27872535216685518</v>
      </c>
    </row>
    <row r="294" spans="1:20" x14ac:dyDescent="0.25">
      <c r="A294" t="str">
        <f t="shared" si="20"/>
        <v>April</v>
      </c>
      <c r="B294" s="5">
        <f t="shared" si="21"/>
        <v>40298</v>
      </c>
      <c r="C294">
        <v>2010</v>
      </c>
      <c r="D294">
        <v>4</v>
      </c>
      <c r="E294">
        <v>30</v>
      </c>
      <c r="F294" s="2">
        <v>129268000</v>
      </c>
      <c r="G294" s="2">
        <v>118044000</v>
      </c>
      <c r="H294" s="2">
        <v>93460000</v>
      </c>
      <c r="I294" s="2">
        <v>59784000</v>
      </c>
      <c r="J294" s="2">
        <v>33677000</v>
      </c>
      <c r="K294" s="2">
        <v>194083748</v>
      </c>
      <c r="L294" s="2">
        <v>96292000</v>
      </c>
      <c r="M294" s="3">
        <v>277.98</v>
      </c>
      <c r="N294" s="4">
        <v>2887</v>
      </c>
      <c r="O294" s="2">
        <v>70332000</v>
      </c>
      <c r="P294" s="3">
        <v>220.04</v>
      </c>
      <c r="Q294" s="4">
        <v>3129</v>
      </c>
      <c r="R294" s="2">
        <f t="shared" si="22"/>
        <v>35808000</v>
      </c>
      <c r="S294">
        <f t="shared" si="23"/>
        <v>0.72299408979793911</v>
      </c>
      <c r="T294">
        <f t="shared" si="24"/>
        <v>0.27700591020206083</v>
      </c>
    </row>
    <row r="295" spans="1:20" x14ac:dyDescent="0.25">
      <c r="A295" t="str">
        <f t="shared" si="20"/>
        <v>April</v>
      </c>
      <c r="B295" s="5">
        <f t="shared" si="21"/>
        <v>40291</v>
      </c>
      <c r="C295">
        <v>2010</v>
      </c>
      <c r="D295">
        <v>4</v>
      </c>
      <c r="E295">
        <v>23</v>
      </c>
      <c r="F295" s="2">
        <v>128046000</v>
      </c>
      <c r="G295" s="2">
        <v>114065000</v>
      </c>
      <c r="H295" s="2">
        <v>93114000</v>
      </c>
      <c r="I295" s="2">
        <v>59539000</v>
      </c>
      <c r="J295" s="2">
        <v>33576000</v>
      </c>
      <c r="K295" s="2">
        <v>188929114</v>
      </c>
      <c r="L295" s="2">
        <v>93289000</v>
      </c>
      <c r="M295" s="3">
        <v>269.76</v>
      </c>
      <c r="N295" s="4">
        <v>2892</v>
      </c>
      <c r="O295" s="2">
        <v>69302000</v>
      </c>
      <c r="P295" s="3">
        <v>216.68</v>
      </c>
      <c r="Q295" s="4">
        <v>3127</v>
      </c>
      <c r="R295" s="2">
        <f t="shared" si="22"/>
        <v>34932000</v>
      </c>
      <c r="S295">
        <f t="shared" si="23"/>
        <v>0.72719179045030691</v>
      </c>
      <c r="T295">
        <f t="shared" si="24"/>
        <v>0.27280820954969309</v>
      </c>
    </row>
    <row r="296" spans="1:20" x14ac:dyDescent="0.25">
      <c r="A296" t="str">
        <f t="shared" si="20"/>
        <v>April</v>
      </c>
      <c r="B296" s="5">
        <f t="shared" si="21"/>
        <v>40277</v>
      </c>
      <c r="C296">
        <v>2010</v>
      </c>
      <c r="D296">
        <v>4</v>
      </c>
      <c r="E296">
        <v>9</v>
      </c>
      <c r="F296" s="2">
        <v>98802000</v>
      </c>
      <c r="G296" s="2">
        <v>93205000</v>
      </c>
      <c r="H296" s="2">
        <v>77395000</v>
      </c>
      <c r="I296" s="2">
        <v>50070000</v>
      </c>
      <c r="J296" s="2">
        <v>27325000</v>
      </c>
      <c r="K296" s="2">
        <v>162235522</v>
      </c>
      <c r="L296" s="2">
        <v>79705000</v>
      </c>
      <c r="M296" s="3">
        <v>234.31</v>
      </c>
      <c r="N296" s="4">
        <v>2940</v>
      </c>
      <c r="O296" s="2">
        <v>61428000</v>
      </c>
      <c r="P296" s="3">
        <v>194.81</v>
      </c>
      <c r="Q296" s="4">
        <v>3171</v>
      </c>
      <c r="R296" s="2">
        <f t="shared" si="22"/>
        <v>21407000</v>
      </c>
      <c r="S296">
        <f t="shared" si="23"/>
        <v>0.78333434545859393</v>
      </c>
      <c r="T296">
        <f t="shared" si="24"/>
        <v>0.21666565454140604</v>
      </c>
    </row>
    <row r="297" spans="1:20" x14ac:dyDescent="0.25">
      <c r="A297" t="str">
        <f t="shared" si="20"/>
        <v>April</v>
      </c>
      <c r="B297" s="5">
        <f t="shared" si="21"/>
        <v>40270</v>
      </c>
      <c r="C297">
        <v>2010</v>
      </c>
      <c r="D297">
        <v>4</v>
      </c>
      <c r="E297">
        <v>2</v>
      </c>
      <c r="F297" s="2">
        <v>89970000</v>
      </c>
      <c r="G297" s="2">
        <v>85221000</v>
      </c>
      <c r="H297" s="2">
        <v>71628000</v>
      </c>
      <c r="I297" s="2">
        <v>45981000</v>
      </c>
      <c r="J297" s="2">
        <v>25647000</v>
      </c>
      <c r="K297" s="2">
        <v>152055000</v>
      </c>
      <c r="L297" s="2">
        <v>74115000</v>
      </c>
      <c r="M297" s="3">
        <v>219.37</v>
      </c>
      <c r="N297" s="4">
        <v>2960</v>
      </c>
      <c r="O297" s="2">
        <v>58137000</v>
      </c>
      <c r="P297" s="3">
        <v>185.24</v>
      </c>
      <c r="Q297" s="4">
        <v>3186</v>
      </c>
      <c r="R297" s="2">
        <f t="shared" si="22"/>
        <v>18342000</v>
      </c>
      <c r="S297">
        <f t="shared" si="23"/>
        <v>0.79613204401467152</v>
      </c>
      <c r="T297">
        <f t="shared" si="24"/>
        <v>0.20386795598532845</v>
      </c>
    </row>
    <row r="298" spans="1:20" x14ac:dyDescent="0.25">
      <c r="A298" t="str">
        <f t="shared" si="20"/>
        <v>March</v>
      </c>
      <c r="B298" s="5">
        <f t="shared" si="21"/>
        <v>40263</v>
      </c>
      <c r="C298">
        <v>2010</v>
      </c>
      <c r="D298">
        <v>3</v>
      </c>
      <c r="E298">
        <v>26</v>
      </c>
      <c r="F298" s="2">
        <v>82533000</v>
      </c>
      <c r="G298" s="2">
        <v>77812000</v>
      </c>
      <c r="H298" s="2">
        <v>66542000</v>
      </c>
      <c r="I298" s="2">
        <v>42354000</v>
      </c>
      <c r="J298" s="2">
        <v>24188000</v>
      </c>
      <c r="K298" s="2">
        <v>141109467</v>
      </c>
      <c r="L298" s="2">
        <v>68587000</v>
      </c>
      <c r="M298" s="3">
        <v>204.26</v>
      </c>
      <c r="N298" s="4">
        <v>2978</v>
      </c>
      <c r="O298" s="2">
        <v>54738000</v>
      </c>
      <c r="P298" s="3">
        <v>175.04</v>
      </c>
      <c r="Q298" s="4">
        <v>3198</v>
      </c>
      <c r="R298" s="2">
        <f t="shared" si="22"/>
        <v>15991000</v>
      </c>
      <c r="S298">
        <f t="shared" si="23"/>
        <v>0.80624719809046075</v>
      </c>
      <c r="T298">
        <f t="shared" si="24"/>
        <v>0.19375280190953922</v>
      </c>
    </row>
    <row r="299" spans="1:20" x14ac:dyDescent="0.25">
      <c r="A299" t="str">
        <f t="shared" si="20"/>
        <v>March</v>
      </c>
      <c r="B299" s="5">
        <f t="shared" si="21"/>
        <v>40256</v>
      </c>
      <c r="C299">
        <v>2010</v>
      </c>
      <c r="D299">
        <v>3</v>
      </c>
      <c r="E299">
        <v>19</v>
      </c>
      <c r="F299" s="2">
        <v>75561000</v>
      </c>
      <c r="G299" s="2">
        <v>70948000</v>
      </c>
      <c r="H299" s="2">
        <v>61650000</v>
      </c>
      <c r="I299" s="2">
        <v>38898000</v>
      </c>
      <c r="J299" s="2">
        <v>22752000</v>
      </c>
      <c r="K299" s="2">
        <v>130831659</v>
      </c>
      <c r="L299" s="2">
        <v>63255000</v>
      </c>
      <c r="M299" s="3">
        <v>190.03</v>
      </c>
      <c r="N299" s="4">
        <v>3004</v>
      </c>
      <c r="O299" s="2">
        <v>51392000</v>
      </c>
      <c r="P299" s="3">
        <v>165.16</v>
      </c>
      <c r="Q299" s="4">
        <v>3214</v>
      </c>
      <c r="R299" s="2">
        <f t="shared" si="22"/>
        <v>13911000</v>
      </c>
      <c r="S299">
        <f t="shared" si="23"/>
        <v>0.81589708976853137</v>
      </c>
      <c r="T299">
        <f t="shared" si="24"/>
        <v>0.1841029102314686</v>
      </c>
    </row>
    <row r="300" spans="1:20" x14ac:dyDescent="0.25">
      <c r="A300" t="str">
        <f t="shared" si="20"/>
        <v>March</v>
      </c>
      <c r="B300" s="5">
        <f t="shared" si="21"/>
        <v>40249</v>
      </c>
      <c r="C300">
        <v>2010</v>
      </c>
      <c r="D300">
        <v>3</v>
      </c>
      <c r="E300">
        <v>12</v>
      </c>
      <c r="F300" s="2">
        <v>68743000</v>
      </c>
      <c r="G300" s="2">
        <v>64294000</v>
      </c>
      <c r="H300" s="2">
        <v>56802000</v>
      </c>
      <c r="I300" s="2">
        <v>35510000</v>
      </c>
      <c r="J300" s="2">
        <v>21293000</v>
      </c>
      <c r="K300" s="2">
        <v>120071838</v>
      </c>
      <c r="L300" s="2">
        <v>57779000</v>
      </c>
      <c r="M300" s="3">
        <v>175.42</v>
      </c>
      <c r="N300" s="4">
        <v>3036</v>
      </c>
      <c r="O300" s="2">
        <v>47893000</v>
      </c>
      <c r="P300" s="3">
        <v>154.80000000000001</v>
      </c>
      <c r="Q300" s="4">
        <v>3232</v>
      </c>
      <c r="R300" s="2">
        <f t="shared" si="22"/>
        <v>11941000</v>
      </c>
      <c r="S300">
        <f t="shared" si="23"/>
        <v>0.82629504094962392</v>
      </c>
      <c r="T300">
        <f t="shared" si="24"/>
        <v>0.17370495905037603</v>
      </c>
    </row>
    <row r="301" spans="1:20" x14ac:dyDescent="0.25">
      <c r="A301" t="str">
        <f t="shared" si="20"/>
        <v>March</v>
      </c>
      <c r="B301" s="5">
        <f t="shared" si="21"/>
        <v>40242</v>
      </c>
      <c r="C301">
        <v>2010</v>
      </c>
      <c r="D301">
        <v>3</v>
      </c>
      <c r="E301">
        <v>5</v>
      </c>
      <c r="F301" s="2">
        <v>61287000</v>
      </c>
      <c r="G301" s="2">
        <v>57211000</v>
      </c>
      <c r="H301" s="2">
        <v>51600000</v>
      </c>
      <c r="I301" s="2">
        <v>31880000</v>
      </c>
      <c r="J301" s="2">
        <v>19720000</v>
      </c>
      <c r="K301" s="2">
        <v>109663929</v>
      </c>
      <c r="L301" s="2">
        <v>51980000</v>
      </c>
      <c r="M301" s="3">
        <v>160.19</v>
      </c>
      <c r="N301" s="4">
        <v>3082</v>
      </c>
      <c r="O301" s="2">
        <v>44032000</v>
      </c>
      <c r="P301" s="3">
        <v>143.6</v>
      </c>
      <c r="Q301" s="4">
        <v>3261</v>
      </c>
      <c r="R301" s="2">
        <f t="shared" si="22"/>
        <v>9687000</v>
      </c>
      <c r="S301">
        <f t="shared" si="23"/>
        <v>0.84194037887317053</v>
      </c>
      <c r="T301">
        <f t="shared" si="24"/>
        <v>0.1580596211268295</v>
      </c>
    </row>
    <row r="302" spans="1:20" x14ac:dyDescent="0.25">
      <c r="A302" t="str">
        <f t="shared" si="20"/>
        <v>February</v>
      </c>
      <c r="B302" s="5">
        <f t="shared" si="21"/>
        <v>40235</v>
      </c>
      <c r="C302">
        <v>2010</v>
      </c>
      <c r="D302">
        <v>2</v>
      </c>
      <c r="E302">
        <v>26</v>
      </c>
      <c r="F302" s="2">
        <v>53556000</v>
      </c>
      <c r="G302" s="2">
        <v>49751000</v>
      </c>
      <c r="H302" s="2">
        <v>45873000</v>
      </c>
      <c r="I302" s="2">
        <v>28048000</v>
      </c>
      <c r="J302" s="2">
        <v>17826000</v>
      </c>
      <c r="K302" s="2">
        <v>98691224</v>
      </c>
      <c r="L302" s="2">
        <v>45544000</v>
      </c>
      <c r="M302" s="3">
        <v>143.41999999999999</v>
      </c>
      <c r="N302" s="4">
        <v>3149</v>
      </c>
      <c r="O302" s="2">
        <v>39569000</v>
      </c>
      <c r="P302" s="3">
        <v>130.77000000000001</v>
      </c>
      <c r="Q302" s="4">
        <v>3305</v>
      </c>
      <c r="R302" s="2">
        <f t="shared" si="22"/>
        <v>7683000</v>
      </c>
      <c r="S302">
        <f t="shared" si="23"/>
        <v>0.85654268429307645</v>
      </c>
      <c r="T302">
        <f t="shared" si="24"/>
        <v>0.1434573157069236</v>
      </c>
    </row>
    <row r="303" spans="1:20" x14ac:dyDescent="0.25">
      <c r="A303" t="str">
        <f t="shared" si="20"/>
        <v>December</v>
      </c>
      <c r="B303" s="5">
        <f t="shared" si="21"/>
        <v>40178</v>
      </c>
      <c r="C303">
        <v>2009</v>
      </c>
      <c r="D303">
        <v>12</v>
      </c>
      <c r="E303">
        <v>31</v>
      </c>
      <c r="F303" s="2">
        <v>144360000</v>
      </c>
      <c r="G303" s="2">
        <v>144132000</v>
      </c>
      <c r="H303" s="2">
        <v>95478000</v>
      </c>
      <c r="I303" s="2">
        <v>63285000</v>
      </c>
      <c r="J303" s="2">
        <v>32193000</v>
      </c>
      <c r="K303" s="2">
        <v>290132363</v>
      </c>
      <c r="L303" s="2">
        <v>111721000</v>
      </c>
      <c r="M303" s="3">
        <v>319.41000000000003</v>
      </c>
      <c r="N303" s="4">
        <v>2859</v>
      </c>
      <c r="O303" s="2">
        <v>73112000</v>
      </c>
      <c r="P303" s="3">
        <v>220.99</v>
      </c>
      <c r="Q303" s="4">
        <v>3023</v>
      </c>
      <c r="R303" s="2">
        <f t="shared" si="22"/>
        <v>48882000</v>
      </c>
      <c r="S303">
        <f t="shared" si="23"/>
        <v>0.66138819617622613</v>
      </c>
      <c r="T303">
        <f t="shared" si="24"/>
        <v>0.33861180382377387</v>
      </c>
    </row>
    <row r="304" spans="1:20" x14ac:dyDescent="0.25">
      <c r="A304" t="str">
        <f t="shared" si="20"/>
        <v>October</v>
      </c>
      <c r="B304" s="5">
        <f t="shared" si="21"/>
        <v>40102</v>
      </c>
      <c r="C304">
        <v>2009</v>
      </c>
      <c r="D304">
        <v>10</v>
      </c>
      <c r="E304">
        <v>16</v>
      </c>
      <c r="F304" s="2">
        <v>141376000</v>
      </c>
      <c r="G304" s="2">
        <v>140718000</v>
      </c>
      <c r="H304" s="2">
        <v>94980000</v>
      </c>
      <c r="I304" s="2">
        <v>62858000</v>
      </c>
      <c r="J304" s="2">
        <v>32122000</v>
      </c>
      <c r="K304" s="2">
        <v>266476336</v>
      </c>
      <c r="L304" s="2">
        <v>110071000</v>
      </c>
      <c r="M304" s="3">
        <v>303.07</v>
      </c>
      <c r="N304" s="4">
        <v>2753</v>
      </c>
      <c r="O304" s="2">
        <v>72717000</v>
      </c>
      <c r="P304" s="3">
        <v>217.92</v>
      </c>
      <c r="Q304" s="4">
        <v>2997</v>
      </c>
      <c r="R304" s="2">
        <f t="shared" si="22"/>
        <v>46396000</v>
      </c>
      <c r="S304">
        <f t="shared" si="23"/>
        <v>0.67182548664554098</v>
      </c>
      <c r="T304">
        <f t="shared" si="24"/>
        <v>0.32817451335445902</v>
      </c>
    </row>
    <row r="305" spans="1:20" x14ac:dyDescent="0.25">
      <c r="A305" t="str">
        <f t="shared" si="20"/>
        <v>May</v>
      </c>
      <c r="B305" s="5">
        <f t="shared" si="21"/>
        <v>39934</v>
      </c>
      <c r="C305">
        <v>2009</v>
      </c>
      <c r="D305">
        <v>5</v>
      </c>
      <c r="E305">
        <v>1</v>
      </c>
      <c r="F305" s="2">
        <v>131560000</v>
      </c>
      <c r="G305" s="2">
        <v>120965000</v>
      </c>
      <c r="H305" s="2">
        <v>90935000</v>
      </c>
      <c r="I305" s="2">
        <v>59617000</v>
      </c>
      <c r="J305" s="2">
        <v>31318000</v>
      </c>
      <c r="K305" s="2">
        <v>195382106</v>
      </c>
      <c r="L305" s="2">
        <v>99896000</v>
      </c>
      <c r="M305" s="3">
        <v>267.12</v>
      </c>
      <c r="N305" s="4">
        <v>2674</v>
      </c>
      <c r="O305" s="2">
        <v>69577000</v>
      </c>
      <c r="P305" s="3">
        <v>204.96</v>
      </c>
      <c r="Q305" s="4">
        <v>2946</v>
      </c>
      <c r="R305" s="2">
        <f t="shared" si="22"/>
        <v>40625000</v>
      </c>
      <c r="S305">
        <f t="shared" si="23"/>
        <v>0.6912055335968379</v>
      </c>
      <c r="T305">
        <f t="shared" si="24"/>
        <v>0.30879446640316205</v>
      </c>
    </row>
    <row r="306" spans="1:20" x14ac:dyDescent="0.25">
      <c r="A306" t="str">
        <f t="shared" si="20"/>
        <v>April</v>
      </c>
      <c r="B306" s="5">
        <f t="shared" si="21"/>
        <v>39927</v>
      </c>
      <c r="C306">
        <v>2009</v>
      </c>
      <c r="D306">
        <v>4</v>
      </c>
      <c r="E306">
        <v>24</v>
      </c>
      <c r="F306" s="2">
        <v>131543000</v>
      </c>
      <c r="G306" s="2">
        <v>117014000</v>
      </c>
      <c r="H306" s="2">
        <v>90639000</v>
      </c>
      <c r="I306" s="2">
        <v>59418000</v>
      </c>
      <c r="J306" s="2">
        <v>31221000</v>
      </c>
      <c r="K306" s="2">
        <v>190609211</v>
      </c>
      <c r="L306" s="2">
        <v>96673000</v>
      </c>
      <c r="M306" s="3">
        <v>257.39999999999998</v>
      </c>
      <c r="N306" s="4">
        <v>2663</v>
      </c>
      <c r="O306" s="2">
        <v>68647000</v>
      </c>
      <c r="P306" s="3">
        <v>202.4</v>
      </c>
      <c r="Q306" s="4">
        <v>2948</v>
      </c>
      <c r="R306" s="2">
        <f t="shared" si="22"/>
        <v>40904000</v>
      </c>
      <c r="S306">
        <f t="shared" si="23"/>
        <v>0.68904464699755974</v>
      </c>
      <c r="T306">
        <f t="shared" si="24"/>
        <v>0.31095535300244026</v>
      </c>
    </row>
    <row r="307" spans="1:20" x14ac:dyDescent="0.25">
      <c r="A307" t="str">
        <f t="shared" si="20"/>
        <v>April</v>
      </c>
      <c r="B307" s="5">
        <f t="shared" si="21"/>
        <v>39913</v>
      </c>
      <c r="C307">
        <v>2009</v>
      </c>
      <c r="D307">
        <v>4</v>
      </c>
      <c r="E307">
        <v>10</v>
      </c>
      <c r="F307" s="2">
        <v>101892000</v>
      </c>
      <c r="G307" s="2">
        <v>97425000</v>
      </c>
      <c r="H307" s="2">
        <v>77003000</v>
      </c>
      <c r="I307" s="2">
        <v>51169000</v>
      </c>
      <c r="J307" s="2">
        <v>25834000</v>
      </c>
      <c r="K307" s="2">
        <v>167850189</v>
      </c>
      <c r="L307" s="2">
        <v>83642000</v>
      </c>
      <c r="M307" s="3">
        <v>225.35</v>
      </c>
      <c r="N307" s="4">
        <v>2694</v>
      </c>
      <c r="O307" s="2">
        <v>61622000</v>
      </c>
      <c r="P307" s="3">
        <v>182.77</v>
      </c>
      <c r="Q307" s="4">
        <v>2966</v>
      </c>
      <c r="R307" s="2">
        <f t="shared" si="22"/>
        <v>24889000</v>
      </c>
      <c r="S307">
        <f t="shared" si="23"/>
        <v>0.75573155890550781</v>
      </c>
      <c r="T307">
        <f t="shared" si="24"/>
        <v>0.24426844109449219</v>
      </c>
    </row>
    <row r="308" spans="1:20" x14ac:dyDescent="0.25">
      <c r="A308" t="str">
        <f t="shared" si="20"/>
        <v>April</v>
      </c>
      <c r="B308" s="5">
        <f t="shared" si="21"/>
        <v>39906</v>
      </c>
      <c r="C308">
        <v>2009</v>
      </c>
      <c r="D308">
        <v>4</v>
      </c>
      <c r="E308">
        <v>3</v>
      </c>
      <c r="F308" s="2">
        <v>92292000</v>
      </c>
      <c r="G308" s="2">
        <v>89215000</v>
      </c>
      <c r="H308" s="2">
        <v>70907000</v>
      </c>
      <c r="I308" s="2">
        <v>46861000</v>
      </c>
      <c r="J308" s="2">
        <v>24046000</v>
      </c>
      <c r="K308" s="2">
        <v>156825000</v>
      </c>
      <c r="L308" s="2">
        <v>77720000</v>
      </c>
      <c r="M308" s="3">
        <v>210.24</v>
      </c>
      <c r="N308" s="4">
        <v>2705</v>
      </c>
      <c r="O308" s="2">
        <v>58294000</v>
      </c>
      <c r="P308" s="3">
        <v>173.41</v>
      </c>
      <c r="Q308" s="4">
        <v>2975</v>
      </c>
      <c r="R308" s="2">
        <f t="shared" si="22"/>
        <v>21385000</v>
      </c>
      <c r="S308">
        <f t="shared" si="23"/>
        <v>0.7682897759285745</v>
      </c>
      <c r="T308">
        <f t="shared" si="24"/>
        <v>0.23171022407142547</v>
      </c>
    </row>
    <row r="309" spans="1:20" ht="345" x14ac:dyDescent="0.25">
      <c r="B309" s="5" t="e">
        <f t="shared" si="21"/>
        <v>#VALUE!</v>
      </c>
      <c r="C309" s="1" t="s">
        <v>17</v>
      </c>
      <c r="R309" s="2"/>
    </row>
    <row r="310" spans="1:20" x14ac:dyDescent="0.25">
      <c r="B310" s="5"/>
      <c r="R310" s="2"/>
    </row>
    <row r="311" spans="1:20" x14ac:dyDescent="0.25">
      <c r="B311" s="5"/>
      <c r="R311" s="2"/>
    </row>
    <row r="312" spans="1:20" x14ac:dyDescent="0.25">
      <c r="B312" s="5"/>
      <c r="R312" s="2"/>
    </row>
    <row r="313" spans="1:20" x14ac:dyDescent="0.25">
      <c r="B313" s="5"/>
      <c r="R313" s="2"/>
    </row>
    <row r="314" spans="1:20" x14ac:dyDescent="0.25">
      <c r="B314" s="5"/>
      <c r="R314" s="2"/>
    </row>
    <row r="315" spans="1:20" x14ac:dyDescent="0.25">
      <c r="B315" s="5"/>
      <c r="C315" t="s">
        <v>18</v>
      </c>
      <c r="D315" t="s">
        <v>18</v>
      </c>
      <c r="E315" t="s">
        <v>18</v>
      </c>
      <c r="R315" s="2"/>
    </row>
    <row r="316" spans="1:20" x14ac:dyDescent="0.25">
      <c r="B316" s="5"/>
      <c r="R316" s="2"/>
    </row>
    <row r="317" spans="1:20" x14ac:dyDescent="0.25">
      <c r="B317" s="5"/>
      <c r="C317" t="s">
        <v>18</v>
      </c>
      <c r="D317" t="s">
        <v>18</v>
      </c>
      <c r="E317" t="s">
        <v>18</v>
      </c>
      <c r="R317" s="2"/>
    </row>
    <row r="318" spans="1:20" x14ac:dyDescent="0.25">
      <c r="B318" s="5"/>
      <c r="R318" s="2"/>
    </row>
    <row r="319" spans="1:20" x14ac:dyDescent="0.25">
      <c r="B319" s="5"/>
      <c r="R319" s="2"/>
    </row>
    <row r="320" spans="1:20" x14ac:dyDescent="0.25">
      <c r="B320" s="5"/>
      <c r="D320" t="s">
        <v>18</v>
      </c>
      <c r="R320" s="2"/>
    </row>
    <row r="321" spans="2:18" x14ac:dyDescent="0.25">
      <c r="B321" s="5"/>
      <c r="R321" s="2"/>
    </row>
    <row r="322" spans="2:18" x14ac:dyDescent="0.25">
      <c r="B322" s="5"/>
      <c r="R322" s="2"/>
    </row>
    <row r="323" spans="2:18" x14ac:dyDescent="0.25">
      <c r="B323" s="5"/>
      <c r="R323" s="2"/>
    </row>
    <row r="324" spans="2:18" x14ac:dyDescent="0.25">
      <c r="R324" s="2"/>
    </row>
    <row r="325" spans="2:18" x14ac:dyDescent="0.25">
      <c r="R325" s="2"/>
    </row>
    <row r="326" spans="2:18" x14ac:dyDescent="0.25">
      <c r="R326" s="2"/>
    </row>
    <row r="327" spans="2:18" x14ac:dyDescent="0.25">
      <c r="R327" s="2"/>
    </row>
    <row r="328" spans="2:18" x14ac:dyDescent="0.25">
      <c r="R328" s="2"/>
    </row>
    <row r="329" spans="2:18" x14ac:dyDescent="0.25">
      <c r="R329" s="2"/>
    </row>
    <row r="330" spans="2:18" x14ac:dyDescent="0.25">
      <c r="R330" s="2"/>
    </row>
  </sheetData>
  <mergeCells count="6">
    <mergeCell ref="A1:Q1"/>
    <mergeCell ref="F2:G2"/>
    <mergeCell ref="H2:J2"/>
    <mergeCell ref="L2:N2"/>
    <mergeCell ref="O2:Q2"/>
    <mergeCell ref="A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DE3F4-98D5-4654-9176-C1B10F5E2E8D}">
  <dimension ref="A1:A11"/>
  <sheetViews>
    <sheetView workbookViewId="0">
      <selection activeCell="G20" sqref="G20"/>
    </sheetView>
  </sheetViews>
  <sheetFormatPr defaultRowHeight="15" x14ac:dyDescent="0.25"/>
  <sheetData>
    <row r="1" spans="1:1" x14ac:dyDescent="0.25">
      <c r="A1" s="8" t="s">
        <v>31</v>
      </c>
    </row>
    <row r="3" spans="1:1" x14ac:dyDescent="0.25">
      <c r="A3" s="8" t="s">
        <v>32</v>
      </c>
    </row>
    <row r="4" spans="1:1" x14ac:dyDescent="0.25">
      <c r="A4" s="8" t="s">
        <v>33</v>
      </c>
    </row>
    <row r="5" spans="1:1" x14ac:dyDescent="0.25">
      <c r="A5" s="8" t="s">
        <v>34</v>
      </c>
    </row>
    <row r="7" spans="1:1" x14ac:dyDescent="0.25">
      <c r="A7" s="8" t="s">
        <v>35</v>
      </c>
    </row>
    <row r="9" spans="1:1" x14ac:dyDescent="0.25">
      <c r="A9" s="8" t="s">
        <v>36</v>
      </c>
    </row>
    <row r="10" spans="1:1" x14ac:dyDescent="0.25">
      <c r="A10" s="8" t="s">
        <v>37</v>
      </c>
    </row>
    <row r="11" spans="1:1" x14ac:dyDescent="0.25">
      <c r="A11" s="8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7E2D-5D91-4EA7-B743-5EA8E15B8DBD}">
  <dimension ref="A1:B16"/>
  <sheetViews>
    <sheetView workbookViewId="0">
      <selection activeCell="L7" sqref="L7"/>
    </sheetView>
  </sheetViews>
  <sheetFormatPr defaultRowHeight="15" x14ac:dyDescent="0.25"/>
  <cols>
    <col min="1" max="1" width="13.140625" bestFit="1" customWidth="1"/>
    <col min="2" max="2" width="28.28515625" bestFit="1" customWidth="1"/>
    <col min="3" max="3" width="12" bestFit="1" customWidth="1"/>
  </cols>
  <sheetData>
    <row r="1" spans="1:2" x14ac:dyDescent="0.25">
      <c r="A1" s="6" t="s">
        <v>27</v>
      </c>
      <c r="B1" t="s">
        <v>57</v>
      </c>
    </row>
    <row r="3" spans="1:2" x14ac:dyDescent="0.25">
      <c r="A3" s="6" t="s">
        <v>28</v>
      </c>
      <c r="B3" t="s">
        <v>30</v>
      </c>
    </row>
    <row r="4" spans="1:2" x14ac:dyDescent="0.25">
      <c r="A4" s="7" t="s">
        <v>45</v>
      </c>
      <c r="B4" s="14">
        <v>63172000</v>
      </c>
    </row>
    <row r="5" spans="1:2" x14ac:dyDescent="0.25">
      <c r="A5" s="7" t="s">
        <v>46</v>
      </c>
      <c r="B5" s="14">
        <v>1821429000</v>
      </c>
    </row>
    <row r="6" spans="1:2" x14ac:dyDescent="0.25">
      <c r="A6" s="7" t="s">
        <v>47</v>
      </c>
      <c r="B6" s="14">
        <v>5028153000</v>
      </c>
    </row>
    <row r="7" spans="1:2" x14ac:dyDescent="0.25">
      <c r="A7" s="7" t="s">
        <v>48</v>
      </c>
      <c r="B7" s="14">
        <v>7908430000</v>
      </c>
    </row>
    <row r="8" spans="1:2" x14ac:dyDescent="0.25">
      <c r="A8" s="7" t="s">
        <v>49</v>
      </c>
      <c r="B8" s="14">
        <v>5916306000</v>
      </c>
    </row>
    <row r="9" spans="1:2" x14ac:dyDescent="0.25">
      <c r="A9" s="7" t="s">
        <v>50</v>
      </c>
      <c r="B9" s="14">
        <v>1968013000</v>
      </c>
    </row>
    <row r="10" spans="1:2" x14ac:dyDescent="0.25">
      <c r="A10" s="7" t="s">
        <v>51</v>
      </c>
      <c r="B10" s="14">
        <v>1320041000</v>
      </c>
    </row>
    <row r="11" spans="1:2" x14ac:dyDescent="0.25">
      <c r="A11" s="7" t="s">
        <v>52</v>
      </c>
      <c r="B11" s="14">
        <v>575052000</v>
      </c>
    </row>
    <row r="12" spans="1:2" x14ac:dyDescent="0.25">
      <c r="A12" s="7" t="s">
        <v>53</v>
      </c>
      <c r="B12" s="14">
        <v>580063000</v>
      </c>
    </row>
    <row r="13" spans="1:2" x14ac:dyDescent="0.25">
      <c r="A13" s="7" t="s">
        <v>54</v>
      </c>
      <c r="B13" s="14">
        <v>2654830000</v>
      </c>
    </row>
    <row r="14" spans="1:2" x14ac:dyDescent="0.25">
      <c r="A14" s="7" t="s">
        <v>55</v>
      </c>
      <c r="B14" s="14">
        <v>1225651000</v>
      </c>
    </row>
    <row r="15" spans="1:2" x14ac:dyDescent="0.25">
      <c r="A15" s="7" t="s">
        <v>56</v>
      </c>
      <c r="B15" s="14">
        <v>2938924000</v>
      </c>
    </row>
    <row r="16" spans="1:2" x14ac:dyDescent="0.25">
      <c r="A16" s="7" t="s">
        <v>29</v>
      </c>
      <c r="B16" s="14">
        <v>32000064000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7F330-E45D-41C0-8988-F943F5379A18}">
  <dimension ref="A1:B16"/>
  <sheetViews>
    <sheetView workbookViewId="0">
      <selection activeCell="B20" sqref="B20"/>
    </sheetView>
  </sheetViews>
  <sheetFormatPr defaultRowHeight="15" x14ac:dyDescent="0.25"/>
  <cols>
    <col min="1" max="1" width="13.140625" bestFit="1" customWidth="1"/>
    <col min="2" max="2" width="18.5703125" bestFit="1" customWidth="1"/>
    <col min="3" max="3" width="12" bestFit="1" customWidth="1"/>
  </cols>
  <sheetData>
    <row r="1" spans="1:2" x14ac:dyDescent="0.25">
      <c r="A1" s="6" t="s">
        <v>27</v>
      </c>
      <c r="B1" t="s">
        <v>57</v>
      </c>
    </row>
    <row r="3" spans="1:2" x14ac:dyDescent="0.25">
      <c r="A3" s="6" t="s">
        <v>28</v>
      </c>
      <c r="B3" t="s">
        <v>58</v>
      </c>
    </row>
    <row r="4" spans="1:2" x14ac:dyDescent="0.25">
      <c r="A4" s="7" t="s">
        <v>45</v>
      </c>
      <c r="B4">
        <v>3353000</v>
      </c>
    </row>
    <row r="5" spans="1:2" x14ac:dyDescent="0.25">
      <c r="A5" s="7" t="s">
        <v>46</v>
      </c>
      <c r="B5">
        <v>86411000</v>
      </c>
    </row>
    <row r="6" spans="1:2" x14ac:dyDescent="0.25">
      <c r="A6" s="7" t="s">
        <v>47</v>
      </c>
      <c r="B6">
        <v>366989000</v>
      </c>
    </row>
    <row r="7" spans="1:2" x14ac:dyDescent="0.25">
      <c r="A7" s="7" t="s">
        <v>48</v>
      </c>
      <c r="B7">
        <v>834846000</v>
      </c>
    </row>
    <row r="8" spans="1:2" x14ac:dyDescent="0.25">
      <c r="A8" s="7" t="s">
        <v>49</v>
      </c>
      <c r="B8">
        <v>696747000</v>
      </c>
    </row>
    <row r="9" spans="1:2" x14ac:dyDescent="0.25">
      <c r="A9" s="7" t="s">
        <v>50</v>
      </c>
      <c r="B9">
        <v>247995000</v>
      </c>
    </row>
    <row r="10" spans="1:2" x14ac:dyDescent="0.25">
      <c r="A10" s="7" t="s">
        <v>51</v>
      </c>
      <c r="B10">
        <v>123698000</v>
      </c>
    </row>
    <row r="11" spans="1:2" x14ac:dyDescent="0.25">
      <c r="A11" s="7" t="s">
        <v>52</v>
      </c>
      <c r="B11">
        <v>79555000</v>
      </c>
    </row>
    <row r="12" spans="1:2" x14ac:dyDescent="0.25">
      <c r="A12" s="7" t="s">
        <v>53</v>
      </c>
      <c r="B12">
        <v>78770000</v>
      </c>
    </row>
    <row r="13" spans="1:2" x14ac:dyDescent="0.25">
      <c r="A13" s="7" t="s">
        <v>54</v>
      </c>
      <c r="B13">
        <v>333548000</v>
      </c>
    </row>
    <row r="14" spans="1:2" x14ac:dyDescent="0.25">
      <c r="A14" s="7" t="s">
        <v>55</v>
      </c>
      <c r="B14">
        <v>170174000</v>
      </c>
    </row>
    <row r="15" spans="1:2" x14ac:dyDescent="0.25">
      <c r="A15" s="7" t="s">
        <v>56</v>
      </c>
      <c r="B15">
        <v>438991000</v>
      </c>
    </row>
    <row r="16" spans="1:2" x14ac:dyDescent="0.25">
      <c r="A16" s="7" t="s">
        <v>29</v>
      </c>
      <c r="B16">
        <v>3461077000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6F32-31C8-4E10-9C2E-5FB49CC61E13}">
  <dimension ref="A1:C16"/>
  <sheetViews>
    <sheetView topLeftCell="C1"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27" bestFit="1" customWidth="1"/>
    <col min="3" max="3" width="22.42578125" bestFit="1" customWidth="1"/>
  </cols>
  <sheetData>
    <row r="1" spans="1:3" x14ac:dyDescent="0.25">
      <c r="A1" s="6" t="s">
        <v>27</v>
      </c>
      <c r="B1" t="s">
        <v>57</v>
      </c>
    </row>
    <row r="3" spans="1:3" x14ac:dyDescent="0.25">
      <c r="A3" s="6" t="s">
        <v>28</v>
      </c>
      <c r="B3" t="s">
        <v>43</v>
      </c>
      <c r="C3" t="s">
        <v>42</v>
      </c>
    </row>
    <row r="4" spans="1:3" x14ac:dyDescent="0.25">
      <c r="A4" s="7" t="s">
        <v>45</v>
      </c>
      <c r="B4">
        <v>14190</v>
      </c>
      <c r="C4">
        <v>13978</v>
      </c>
    </row>
    <row r="5" spans="1:3" x14ac:dyDescent="0.25">
      <c r="A5" s="7" t="s">
        <v>46</v>
      </c>
      <c r="B5">
        <v>136827</v>
      </c>
      <c r="C5">
        <v>133207</v>
      </c>
    </row>
    <row r="6" spans="1:3" x14ac:dyDescent="0.25">
      <c r="A6" s="7" t="s">
        <v>47</v>
      </c>
      <c r="B6">
        <v>207695</v>
      </c>
      <c r="C6">
        <v>199636</v>
      </c>
    </row>
    <row r="7" spans="1:3" x14ac:dyDescent="0.25">
      <c r="A7" s="7" t="s">
        <v>48</v>
      </c>
      <c r="B7">
        <v>199508</v>
      </c>
      <c r="C7">
        <v>189280</v>
      </c>
    </row>
    <row r="8" spans="1:3" x14ac:dyDescent="0.25">
      <c r="A8" s="7" t="s">
        <v>49</v>
      </c>
      <c r="B8">
        <v>126046</v>
      </c>
      <c r="C8">
        <v>119470</v>
      </c>
    </row>
    <row r="9" spans="1:3" x14ac:dyDescent="0.25">
      <c r="A9" s="7" t="s">
        <v>50</v>
      </c>
      <c r="B9">
        <v>40997</v>
      </c>
      <c r="C9">
        <v>38752</v>
      </c>
    </row>
    <row r="10" spans="1:3" x14ac:dyDescent="0.25">
      <c r="A10" s="7" t="s">
        <v>51</v>
      </c>
      <c r="B10">
        <v>26001</v>
      </c>
      <c r="C10">
        <v>24670</v>
      </c>
    </row>
    <row r="11" spans="1:3" x14ac:dyDescent="0.25">
      <c r="A11" s="7" t="s">
        <v>52</v>
      </c>
      <c r="B11">
        <v>11601</v>
      </c>
      <c r="C11">
        <v>10890</v>
      </c>
    </row>
    <row r="12" spans="1:3" x14ac:dyDescent="0.25">
      <c r="A12" s="7" t="s">
        <v>53</v>
      </c>
      <c r="B12">
        <v>11675</v>
      </c>
      <c r="C12">
        <v>10948</v>
      </c>
    </row>
    <row r="13" spans="1:3" x14ac:dyDescent="0.25">
      <c r="A13" s="7" t="s">
        <v>54</v>
      </c>
      <c r="B13">
        <v>50272</v>
      </c>
      <c r="C13">
        <v>47982</v>
      </c>
    </row>
    <row r="14" spans="1:3" x14ac:dyDescent="0.25">
      <c r="A14" s="7" t="s">
        <v>55</v>
      </c>
      <c r="B14">
        <v>23418</v>
      </c>
      <c r="C14">
        <v>22288</v>
      </c>
    </row>
    <row r="15" spans="1:3" x14ac:dyDescent="0.25">
      <c r="A15" s="7" t="s">
        <v>56</v>
      </c>
      <c r="B15">
        <v>56632</v>
      </c>
      <c r="C15">
        <v>54305</v>
      </c>
    </row>
    <row r="16" spans="1:3" x14ac:dyDescent="0.25">
      <c r="A16" s="7" t="s">
        <v>29</v>
      </c>
      <c r="B16">
        <v>904862</v>
      </c>
      <c r="C16">
        <v>865406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CDF2D-16ED-4FCF-9546-2B48A929AC3C}">
  <dimension ref="A3:C20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28.5703125" bestFit="1" customWidth="1"/>
    <col min="3" max="3" width="32.42578125" bestFit="1" customWidth="1"/>
  </cols>
  <sheetData>
    <row r="3" spans="1:3" x14ac:dyDescent="0.25">
      <c r="A3" s="6" t="s">
        <v>28</v>
      </c>
      <c r="B3" t="s">
        <v>40</v>
      </c>
      <c r="C3" t="s">
        <v>41</v>
      </c>
    </row>
    <row r="4" spans="1:3" x14ac:dyDescent="0.25">
      <c r="A4" s="7">
        <v>2009</v>
      </c>
      <c r="B4">
        <v>0.70624753304170762</v>
      </c>
      <c r="C4">
        <v>0.29375246695829216</v>
      </c>
    </row>
    <row r="5" spans="1:3" x14ac:dyDescent="0.25">
      <c r="A5" s="7">
        <v>2010</v>
      </c>
      <c r="B5">
        <v>0.76649579275851953</v>
      </c>
      <c r="C5">
        <v>0.23350420724148041</v>
      </c>
    </row>
    <row r="6" spans="1:3" x14ac:dyDescent="0.25">
      <c r="A6" s="7">
        <v>2011</v>
      </c>
      <c r="B6">
        <v>0.83550585796068622</v>
      </c>
      <c r="C6">
        <v>0.1644941420393139</v>
      </c>
    </row>
    <row r="7" spans="1:3" x14ac:dyDescent="0.25">
      <c r="A7" s="7">
        <v>2012</v>
      </c>
      <c r="B7">
        <v>0.85480073280900026</v>
      </c>
      <c r="C7">
        <v>0.14519926719099963</v>
      </c>
    </row>
    <row r="8" spans="1:3" x14ac:dyDescent="0.25">
      <c r="A8" s="7">
        <v>2013</v>
      </c>
      <c r="B8">
        <v>0.88624555171176844</v>
      </c>
      <c r="C8">
        <v>0.1137544482882317</v>
      </c>
    </row>
    <row r="9" spans="1:3" x14ac:dyDescent="0.25">
      <c r="A9" s="7">
        <v>2014</v>
      </c>
      <c r="B9">
        <v>0.89075680076533881</v>
      </c>
      <c r="C9">
        <v>0.10924319923466133</v>
      </c>
    </row>
    <row r="10" spans="1:3" x14ac:dyDescent="0.25">
      <c r="A10" s="7">
        <v>2015</v>
      </c>
      <c r="B10">
        <v>0.89879976631938041</v>
      </c>
      <c r="C10">
        <v>0.1012002336806196</v>
      </c>
    </row>
    <row r="11" spans="1:3" x14ac:dyDescent="0.25">
      <c r="A11" s="7">
        <v>2016</v>
      </c>
      <c r="B11">
        <v>0.9133608947243943</v>
      </c>
      <c r="C11">
        <v>8.6639105275605782E-2</v>
      </c>
    </row>
    <row r="12" spans="1:3" x14ac:dyDescent="0.25">
      <c r="A12" s="7">
        <v>2017</v>
      </c>
      <c r="B12">
        <v>0.91583404835741722</v>
      </c>
      <c r="C12">
        <v>8.4165951642582962E-2</v>
      </c>
    </row>
    <row r="13" spans="1:3" x14ac:dyDescent="0.25">
      <c r="A13" s="7">
        <v>2018</v>
      </c>
      <c r="B13">
        <v>0.91834154505745669</v>
      </c>
      <c r="C13">
        <v>8.1658454942543368E-2</v>
      </c>
    </row>
    <row r="14" spans="1:3" x14ac:dyDescent="0.25">
      <c r="A14" s="7">
        <v>2019</v>
      </c>
      <c r="B14">
        <v>0.91747184773248269</v>
      </c>
      <c r="C14">
        <v>8.2528152267517224E-2</v>
      </c>
    </row>
    <row r="15" spans="1:3" x14ac:dyDescent="0.25">
      <c r="A15" s="7">
        <v>2020</v>
      </c>
      <c r="B15">
        <v>0.92520765044405584</v>
      </c>
      <c r="C15">
        <v>7.4792349555943799E-2</v>
      </c>
    </row>
    <row r="16" spans="1:3" x14ac:dyDescent="0.25">
      <c r="A16" s="7">
        <v>2021</v>
      </c>
      <c r="B16">
        <v>0.94038208793857925</v>
      </c>
      <c r="C16">
        <v>5.9617912061420628E-2</v>
      </c>
    </row>
    <row r="17" spans="1:3" x14ac:dyDescent="0.25">
      <c r="A17" s="7">
        <v>2022</v>
      </c>
      <c r="B17">
        <v>0.95516761826696983</v>
      </c>
      <c r="C17">
        <v>4.4832381733030009E-2</v>
      </c>
    </row>
    <row r="18" spans="1:3" x14ac:dyDescent="0.25">
      <c r="A18" s="7">
        <v>2023</v>
      </c>
      <c r="B18">
        <v>0.95651056174940452</v>
      </c>
      <c r="C18">
        <v>4.3489438250595654E-2</v>
      </c>
    </row>
    <row r="19" spans="1:3" x14ac:dyDescent="0.25">
      <c r="A19" s="7">
        <v>2024</v>
      </c>
      <c r="B19">
        <v>0.96954613355329822</v>
      </c>
      <c r="C19">
        <v>3.0453866446701641E-2</v>
      </c>
    </row>
    <row r="20" spans="1:3" x14ac:dyDescent="0.25">
      <c r="A20" s="7" t="s">
        <v>29</v>
      </c>
      <c r="B20">
        <v>0.90359611257458394</v>
      </c>
      <c r="C20">
        <v>9.6403887425416612E-2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428B6-4C92-4606-9730-3B09D22E78E0}">
  <dimension ref="A1:B16"/>
  <sheetViews>
    <sheetView workbookViewId="0">
      <selection activeCell="M3" sqref="M3"/>
    </sheetView>
  </sheetViews>
  <sheetFormatPr defaultRowHeight="15" x14ac:dyDescent="0.25"/>
  <cols>
    <col min="1" max="1" width="13.140625" bestFit="1" customWidth="1"/>
    <col min="2" max="2" width="22.7109375" bestFit="1" customWidth="1"/>
    <col min="3" max="3" width="12" bestFit="1" customWidth="1"/>
  </cols>
  <sheetData>
    <row r="1" spans="1:2" x14ac:dyDescent="0.25">
      <c r="A1" s="6" t="s">
        <v>27</v>
      </c>
      <c r="B1" t="s">
        <v>57</v>
      </c>
    </row>
    <row r="3" spans="1:2" x14ac:dyDescent="0.25">
      <c r="A3" s="6" t="s">
        <v>28</v>
      </c>
      <c r="B3" t="s">
        <v>39</v>
      </c>
    </row>
    <row r="4" spans="1:2" x14ac:dyDescent="0.25">
      <c r="A4" s="7" t="s">
        <v>45</v>
      </c>
      <c r="B4">
        <v>276954428</v>
      </c>
    </row>
    <row r="5" spans="1:2" x14ac:dyDescent="0.25">
      <c r="A5" s="7" t="s">
        <v>46</v>
      </c>
      <c r="B5">
        <v>8329753897</v>
      </c>
    </row>
    <row r="6" spans="1:2" x14ac:dyDescent="0.25">
      <c r="A6" s="7" t="s">
        <v>47</v>
      </c>
      <c r="B6">
        <v>19699899256</v>
      </c>
    </row>
    <row r="7" spans="1:2" x14ac:dyDescent="0.25">
      <c r="A7" s="7" t="s">
        <v>48</v>
      </c>
      <c r="B7">
        <v>27525041825</v>
      </c>
    </row>
    <row r="8" spans="1:2" x14ac:dyDescent="0.25">
      <c r="A8" s="7" t="s">
        <v>49</v>
      </c>
      <c r="B8">
        <v>24209802639</v>
      </c>
    </row>
    <row r="9" spans="1:2" x14ac:dyDescent="0.25">
      <c r="A9" s="7" t="s">
        <v>50</v>
      </c>
      <c r="B9">
        <v>10933164843</v>
      </c>
    </row>
    <row r="10" spans="1:2" x14ac:dyDescent="0.25">
      <c r="A10" s="7" t="s">
        <v>51</v>
      </c>
      <c r="B10">
        <v>7935647113</v>
      </c>
    </row>
    <row r="11" spans="1:2" x14ac:dyDescent="0.25">
      <c r="A11" s="7" t="s">
        <v>52</v>
      </c>
      <c r="B11">
        <v>1645510167</v>
      </c>
    </row>
    <row r="12" spans="1:2" x14ac:dyDescent="0.25">
      <c r="A12" s="7" t="s">
        <v>53</v>
      </c>
      <c r="B12">
        <v>1657481052</v>
      </c>
    </row>
    <row r="13" spans="1:2" x14ac:dyDescent="0.25">
      <c r="A13" s="7" t="s">
        <v>54</v>
      </c>
      <c r="B13">
        <v>14247671068</v>
      </c>
    </row>
    <row r="14" spans="1:2" x14ac:dyDescent="0.25">
      <c r="A14" s="7" t="s">
        <v>55</v>
      </c>
      <c r="B14">
        <v>4981950018</v>
      </c>
    </row>
    <row r="15" spans="1:2" x14ac:dyDescent="0.25">
      <c r="A15" s="7" t="s">
        <v>56</v>
      </c>
      <c r="B15">
        <v>13687001150</v>
      </c>
    </row>
    <row r="16" spans="1:2" x14ac:dyDescent="0.25">
      <c r="A16" s="7" t="s">
        <v>29</v>
      </c>
      <c r="B16">
        <v>135129877456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filing-season-statistics-2009-t</vt:lpstr>
      <vt:lpstr>Task</vt:lpstr>
      <vt:lpstr>Individual returns received</vt:lpstr>
      <vt:lpstr>Paper filling by Months</vt:lpstr>
      <vt:lpstr>Average of refund</vt:lpstr>
      <vt:lpstr>proportion</vt:lpstr>
      <vt:lpstr>Visits on irs.gov by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 Mishra</dc:creator>
  <cp:lastModifiedBy>Saurabh Mishra</cp:lastModifiedBy>
  <dcterms:created xsi:type="dcterms:W3CDTF">2024-06-07T16:51:31Z</dcterms:created>
  <dcterms:modified xsi:type="dcterms:W3CDTF">2024-06-07T18:24:53Z</dcterms:modified>
</cp:coreProperties>
</file>